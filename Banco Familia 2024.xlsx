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e51682847ad7b/One Note blocs/"/>
    </mc:Choice>
  </mc:AlternateContent>
  <xr:revisionPtr revIDLastSave="0" documentId="8_{0B94D00C-13EA-49BE-9954-E3DA05AF5F8A}" xr6:coauthVersionLast="47" xr6:coauthVersionMax="47" xr10:uidLastSave="{00000000-0000-0000-0000-000000000000}"/>
  <bookViews>
    <workbookView xWindow="0" yWindow="720" windowWidth="29400" windowHeight="18400" firstSheet="1" activeTab="1" xr2:uid="{B43EFBBA-3AD0-8146-B314-AD85D141BB87}"/>
  </bookViews>
  <sheets>
    <sheet name="Participantes - Banquito" sheetId="3" r:id="rId1"/>
    <sheet name="Flujo de Caja - Banquito" sheetId="4" r:id="rId2"/>
    <sheet name="Participantes - Canastita" sheetId="5" r:id="rId3"/>
    <sheet name="Flujo de Caja - Canastita" sheetId="6" r:id="rId4"/>
    <sheet name="Interes Simple" sheetId="2" r:id="rId5"/>
    <sheet name="Interes Compuesto" sheetId="1" r:id="rId6"/>
  </sheets>
  <definedNames>
    <definedName name="_xlnm._FilterDatabase" localSheetId="1" hidden="1">'Flujo de Caja - Banquito'!$A$2:$R$33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4" l="1"/>
  <c r="R24" i="4"/>
  <c r="R25" i="4"/>
  <c r="R26" i="4"/>
  <c r="R27" i="4"/>
  <c r="Q24" i="4"/>
  <c r="Q25" i="4"/>
  <c r="Q26" i="4"/>
  <c r="Q27" i="4"/>
  <c r="Q18" i="4"/>
  <c r="R18" i="4"/>
  <c r="R39" i="6"/>
  <c r="Q33" i="6"/>
  <c r="R33" i="6"/>
  <c r="Q34" i="6"/>
  <c r="R34" i="6"/>
  <c r="Q35" i="6"/>
  <c r="R35" i="6"/>
  <c r="Q36" i="6"/>
  <c r="R36" i="6"/>
  <c r="K51" i="6"/>
  <c r="Q19" i="4"/>
  <c r="R19" i="4" s="1"/>
  <c r="Q20" i="4"/>
  <c r="R20" i="4" s="1"/>
  <c r="Q21" i="4"/>
  <c r="R21" i="4" s="1"/>
  <c r="Q22" i="4"/>
  <c r="R22" i="4" s="1"/>
  <c r="Q23" i="4"/>
  <c r="R23" i="4" s="1"/>
  <c r="Q31" i="6"/>
  <c r="R31" i="6" s="1"/>
  <c r="Q32" i="6"/>
  <c r="R32" i="6" s="1"/>
  <c r="Q38" i="6"/>
  <c r="R38" i="6" s="1"/>
  <c r="Q20" i="6"/>
  <c r="R20" i="6" s="1"/>
  <c r="Q21" i="6"/>
  <c r="R21" i="6" s="1"/>
  <c r="Q22" i="6"/>
  <c r="R22" i="6" s="1"/>
  <c r="Q23" i="6"/>
  <c r="R23" i="6" s="1"/>
  <c r="Q24" i="6"/>
  <c r="R24" i="6" s="1"/>
  <c r="Q25" i="6"/>
  <c r="R25" i="6" s="1"/>
  <c r="Q26" i="6"/>
  <c r="R26" i="6" s="1"/>
  <c r="Q27" i="6"/>
  <c r="R27" i="6" s="1"/>
  <c r="Q28" i="6"/>
  <c r="R28" i="6" s="1"/>
  <c r="Q29" i="6"/>
  <c r="R29" i="6" s="1"/>
  <c r="Q30" i="6"/>
  <c r="R3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16" i="4"/>
  <c r="R16" i="4" s="1"/>
  <c r="Q17" i="4"/>
  <c r="R17" i="4" s="1"/>
  <c r="Q9" i="4"/>
  <c r="Q4" i="4"/>
  <c r="R4" i="4" s="1"/>
  <c r="Q5" i="4"/>
  <c r="R5" i="4" s="1"/>
  <c r="Q6" i="4"/>
  <c r="R6" i="4" s="1"/>
  <c r="Q7" i="4"/>
  <c r="R7" i="4" s="1"/>
  <c r="Q8" i="4"/>
  <c r="R8" i="4" s="1"/>
  <c r="R9" i="4"/>
  <c r="Q10" i="4"/>
  <c r="R10" i="4" s="1"/>
  <c r="Q11" i="4"/>
  <c r="R11" i="4" s="1"/>
  <c r="Q12" i="4"/>
  <c r="R12" i="4" s="1"/>
  <c r="Q13" i="4"/>
  <c r="R13" i="4" s="1"/>
  <c r="Q14" i="4"/>
  <c r="R14" i="4" s="1"/>
  <c r="Q15" i="4"/>
  <c r="R15" i="4" s="1"/>
  <c r="Q3" i="4"/>
  <c r="R3" i="4" s="1"/>
  <c r="C40" i="4"/>
  <c r="C42" i="4" s="1"/>
  <c r="C43" i="4" s="1"/>
  <c r="J39" i="6"/>
  <c r="E39" i="6"/>
  <c r="F39" i="6"/>
  <c r="G39" i="6"/>
  <c r="H39" i="6"/>
  <c r="I39" i="6"/>
  <c r="K39" i="6"/>
  <c r="L39" i="6"/>
  <c r="M39" i="6"/>
  <c r="N39" i="6"/>
  <c r="O39" i="6"/>
  <c r="P39" i="6"/>
  <c r="D39" i="6"/>
  <c r="B53" i="6"/>
  <c r="C20" i="5"/>
  <c r="D20" i="5"/>
  <c r="E20" i="5"/>
  <c r="F20" i="5"/>
  <c r="G20" i="5"/>
  <c r="H20" i="5"/>
  <c r="I20" i="5"/>
  <c r="J20" i="5"/>
  <c r="K20" i="5"/>
  <c r="L20" i="5"/>
  <c r="M20" i="5"/>
  <c r="N20" i="5"/>
  <c r="B20" i="5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15" i="3"/>
  <c r="D15" i="3"/>
  <c r="E15" i="3"/>
  <c r="F15" i="3"/>
  <c r="G15" i="3"/>
  <c r="H15" i="3"/>
  <c r="I15" i="3"/>
  <c r="J15" i="3"/>
  <c r="K15" i="3"/>
  <c r="L15" i="3"/>
  <c r="M15" i="3"/>
  <c r="N15" i="3"/>
  <c r="D28" i="4"/>
  <c r="D36" i="4"/>
  <c r="E28" i="4"/>
  <c r="E36" i="4"/>
  <c r="F28" i="4"/>
  <c r="F36" i="4"/>
  <c r="G28" i="4"/>
  <c r="G36" i="4"/>
  <c r="H28" i="4"/>
  <c r="H36" i="4"/>
  <c r="I28" i="4"/>
  <c r="I36" i="4"/>
  <c r="J28" i="4"/>
  <c r="J36" i="4"/>
  <c r="K28" i="4"/>
  <c r="K36" i="4"/>
  <c r="L28" i="4"/>
  <c r="L36" i="4"/>
  <c r="M28" i="4"/>
  <c r="M36" i="4"/>
  <c r="N28" i="4"/>
  <c r="N36" i="4"/>
  <c r="O28" i="4"/>
  <c r="O36" i="4"/>
  <c r="J39" i="4" s="1"/>
  <c r="P28" i="4"/>
  <c r="P36" i="4"/>
  <c r="B15" i="3"/>
  <c r="B4" i="2"/>
  <c r="B4" i="1"/>
  <c r="R28" i="4" l="1"/>
  <c r="R29" i="4" s="1"/>
</calcChain>
</file>

<file path=xl/sharedStrings.xml><?xml version="1.0" encoding="utf-8"?>
<sst xmlns="http://schemas.openxmlformats.org/spreadsheetml/2006/main" count="214" uniqueCount="73">
  <si>
    <t>Nombre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</si>
  <si>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</si>
  <si>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</si>
  <si>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</si>
  <si>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</si>
  <si>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</si>
  <si>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</si>
  <si>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</si>
  <si>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</si>
  <si>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</si>
  <si>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</si>
  <si>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</si>
  <si>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</si>
  <si>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Sonia Silva</t>
  </si>
  <si>
    <t>Jhary Bravo</t>
  </si>
  <si>
    <t>Jennifer Nuñez</t>
  </si>
  <si>
    <t>Marco Gutierres</t>
  </si>
  <si>
    <t>Kelly Gonzales</t>
  </si>
  <si>
    <t>Estefanny Silva</t>
  </si>
  <si>
    <t>Haytza Silva</t>
  </si>
  <si>
    <t>Medelein Poma</t>
  </si>
  <si>
    <t>Chela Silva</t>
  </si>
  <si>
    <t>Cledmir Tejada</t>
  </si>
  <si>
    <t>Omar Goicochea</t>
  </si>
  <si>
    <t>Adriana Gutierrez</t>
  </si>
  <si>
    <t>Nora Silva</t>
  </si>
  <si>
    <t>Total</t>
  </si>
  <si>
    <t xml:space="preserve">Nombre </t>
  </si>
  <si>
    <t>Monto Pestado</t>
  </si>
  <si>
    <t>N° Cuotas</t>
  </si>
  <si>
    <t>Monto Total Pagado</t>
  </si>
  <si>
    <t>Intereses Generados</t>
  </si>
  <si>
    <t>Madhelein</t>
  </si>
  <si>
    <t>Marco</t>
  </si>
  <si>
    <t>Jennifer</t>
  </si>
  <si>
    <t>Jhary</t>
  </si>
  <si>
    <t>Nora</t>
  </si>
  <si>
    <t>Estafany</t>
  </si>
  <si>
    <t xml:space="preserve">Total de intereses </t>
  </si>
  <si>
    <t>Ganancia por numero</t>
  </si>
  <si>
    <t>Ingresos Extra</t>
  </si>
  <si>
    <t xml:space="preserve">Estefanny añade un número y se pone al dia </t>
  </si>
  <si>
    <t>Nora entra al banquito</t>
  </si>
  <si>
    <t>Adelanto de Cuota de Omar</t>
  </si>
  <si>
    <t xml:space="preserve">Cada Numero recibe </t>
  </si>
  <si>
    <t>Monto total recaudado</t>
  </si>
  <si>
    <t>Simulador</t>
  </si>
  <si>
    <t>Monto</t>
  </si>
  <si>
    <t>Cuotas</t>
  </si>
  <si>
    <t xml:space="preserve">Monto mensual </t>
  </si>
  <si>
    <t>Monto total</t>
  </si>
  <si>
    <t>Interes</t>
  </si>
  <si>
    <t>Maria Magdalena</t>
  </si>
  <si>
    <t>Domenica Meza</t>
  </si>
  <si>
    <t>Fabiano Meza</t>
  </si>
  <si>
    <t>Adriana Gutierres</t>
  </si>
  <si>
    <t>Marco Jr</t>
  </si>
  <si>
    <t>Bettina Leguia</t>
  </si>
  <si>
    <t>Abran Silva</t>
  </si>
  <si>
    <t>Sharmely Poma</t>
  </si>
  <si>
    <t>Geraldyn</t>
  </si>
  <si>
    <t>Daleska</t>
  </si>
  <si>
    <t>Graciela Silva</t>
  </si>
  <si>
    <t>Monto Prestado</t>
  </si>
  <si>
    <t>Abran</t>
  </si>
  <si>
    <t>Geraldine</t>
  </si>
  <si>
    <t xml:space="preserve">Daleska </t>
  </si>
  <si>
    <t>Adriana añadio un numero</t>
  </si>
  <si>
    <t>Bettina añadio un numero</t>
  </si>
  <si>
    <t>Sharmely Adelanta cuota de Febrero</t>
  </si>
  <si>
    <t>Reajuste Aadriana (La cuota anterior pago menos)</t>
  </si>
  <si>
    <t>Haytza Silva adelanta las cuotas</t>
  </si>
  <si>
    <t xml:space="preserve">Daleska adelando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</si>
</sst>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S/-280A]#,##0.00"/>
    <numFmt numFmtId="166" formatCode="[$S/-280A]\ #,##0.00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165" fontId="0" fillId="0" borderId="1" xfId="0" applyNumberFormat="1" applyBorder="1"/>
    <xf numFmtId="0" fontId="0" fillId="0" borderId="2" xfId="0" applyBorder="1"/>
    <xf numFmtId="0" fontId="0" fillId="3" borderId="1" xfId="0" applyFill="1" applyBorder="1"/>
    <xf numFmtId="165" fontId="0" fillId="3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0" fontId="0" fillId="0" borderId="3" xfId="0" applyBorder="1"/>
    <xf numFmtId="165" fontId="0" fillId="0" borderId="3" xfId="0" applyNumberFormat="1" applyBorder="1"/>
    <xf numFmtId="0" fontId="0" fillId="7" borderId="7" xfId="0" applyFill="1" applyBorder="1"/>
    <xf numFmtId="165" fontId="0" fillId="7" borderId="7" xfId="0" applyNumberFormat="1" applyFill="1" applyBorder="1"/>
    <xf numFmtId="165" fontId="0" fillId="0" borderId="9" xfId="0" applyNumberFormat="1" applyBorder="1"/>
    <xf numFmtId="0" fontId="0" fillId="0" borderId="7" xfId="0" applyBorder="1"/>
    <xf numFmtId="0" fontId="0" fillId="8" borderId="1" xfId="0" applyFill="1" applyBorder="1"/>
    <xf numFmtId="165" fontId="0" fillId="8" borderId="1" xfId="0" applyNumberFormat="1" applyFill="1" applyBorder="1"/>
    <xf numFmtId="165" fontId="0" fillId="8" borderId="3" xfId="0" applyNumberFormat="1" applyFill="1" applyBorder="1"/>
    <xf numFmtId="165" fontId="0" fillId="8" borderId="2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165" fontId="0" fillId="10" borderId="3" xfId="0" applyNumberFormat="1" applyFill="1" applyBorder="1"/>
    <xf numFmtId="165" fontId="0" fillId="10" borderId="9" xfId="0" applyNumberFormat="1" applyFill="1" applyBorder="1"/>
    <xf numFmtId="0" fontId="0" fillId="0" borderId="5" xfId="0" applyBorder="1"/>
    <xf numFmtId="165" fontId="0" fillId="0" borderId="5" xfId="0" applyNumberFormat="1" applyBorder="1"/>
    <xf numFmtId="0" fontId="0" fillId="10" borderId="7" xfId="0" applyFill="1" applyBorder="1"/>
    <xf numFmtId="165" fontId="0" fillId="10" borderId="7" xfId="0" applyNumberFormat="1" applyFill="1" applyBorder="1"/>
    <xf numFmtId="0" fontId="0" fillId="11" borderId="1" xfId="0" applyFill="1" applyBorder="1"/>
    <xf numFmtId="165" fontId="0" fillId="11" borderId="1" xfId="0" applyNumberFormat="1" applyFill="1" applyBorder="1"/>
    <xf numFmtId="0" fontId="0" fillId="11" borderId="3" xfId="0" applyFill="1" applyBorder="1"/>
    <xf numFmtId="165" fontId="0" fillId="11" borderId="3" xfId="0" applyNumberFormat="1" applyFill="1" applyBorder="1"/>
    <xf numFmtId="165" fontId="0" fillId="0" borderId="2" xfId="0" applyNumberFormat="1" applyBorder="1"/>
    <xf numFmtId="165" fontId="0" fillId="6" borderId="2" xfId="0" applyNumberFormat="1" applyFill="1" applyBorder="1"/>
    <xf numFmtId="0" fontId="1" fillId="2" borderId="7" xfId="0" applyFont="1" applyFill="1" applyBorder="1"/>
    <xf numFmtId="165" fontId="0" fillId="0" borderId="1" xfId="0" applyNumberFormat="1" applyBorder="1" applyAlignment="1">
      <alignment vertical="center"/>
    </xf>
    <xf numFmtId="0" fontId="0" fillId="3" borderId="3" xfId="0" applyFill="1" applyBorder="1"/>
    <xf numFmtId="165" fontId="0" fillId="3" borderId="3" xfId="0" applyNumberFormat="1" applyFill="1" applyBorder="1"/>
    <xf numFmtId="0" fontId="0" fillId="12" borderId="1" xfId="0" applyFill="1" applyBorder="1"/>
    <xf numFmtId="165" fontId="0" fillId="12" borderId="1" xfId="0" applyNumberFormat="1" applyFill="1" applyBorder="1"/>
    <xf numFmtId="0" fontId="0" fillId="13" borderId="1" xfId="0" applyFill="1" applyBorder="1"/>
    <xf numFmtId="165" fontId="0" fillId="13" borderId="1" xfId="0" applyNumberFormat="1" applyFill="1" applyBorder="1"/>
    <xf numFmtId="0" fontId="0" fillId="13" borderId="3" xfId="0" applyFill="1" applyBorder="1"/>
    <xf numFmtId="165" fontId="0" fillId="13" borderId="3" xfId="0" applyNumberFormat="1" applyFill="1" applyBorder="1"/>
    <xf numFmtId="0" fontId="0" fillId="13" borderId="5" xfId="0" applyFill="1" applyBorder="1"/>
    <xf numFmtId="165" fontId="0" fillId="13" borderId="5" xfId="0" applyNumberFormat="1" applyFill="1" applyBorder="1"/>
    <xf numFmtId="165" fontId="0" fillId="13" borderId="9" xfId="0" applyNumberFormat="1" applyFill="1" applyBorder="1"/>
    <xf numFmtId="0" fontId="0" fillId="14" borderId="1" xfId="0" applyFill="1" applyBorder="1"/>
    <xf numFmtId="165" fontId="0" fillId="14" borderId="1" xfId="0" applyNumberFormat="1" applyFill="1" applyBorder="1"/>
    <xf numFmtId="0" fontId="0" fillId="15" borderId="1" xfId="0" applyFill="1" applyBorder="1"/>
    <xf numFmtId="165" fontId="0" fillId="15" borderId="1" xfId="0" applyNumberFormat="1" applyFill="1" applyBorder="1"/>
    <xf numFmtId="0" fontId="0" fillId="15" borderId="5" xfId="0" applyFill="1" applyBorder="1"/>
    <xf numFmtId="165" fontId="0" fillId="15" borderId="5" xfId="0" applyNumberFormat="1" applyFill="1" applyBorder="1"/>
    <xf numFmtId="165" fontId="0" fillId="15" borderId="9" xfId="0" applyNumberFormat="1" applyFill="1" applyBorder="1"/>
    <xf numFmtId="0" fontId="0" fillId="4" borderId="0" xfId="0" applyFill="1"/>
    <xf numFmtId="0" fontId="2" fillId="0" borderId="0" xfId="0" applyFont="1"/>
    <xf numFmtId="0" fontId="0" fillId="16" borderId="1" xfId="0" applyFill="1" applyBorder="1"/>
    <xf numFmtId="165" fontId="0" fillId="16" borderId="1" xfId="0" applyNumberFormat="1" applyFill="1" applyBorder="1"/>
    <xf numFmtId="0" fontId="0" fillId="16" borderId="5" xfId="0" applyFill="1" applyBorder="1"/>
    <xf numFmtId="165" fontId="0" fillId="16" borderId="5" xfId="0" applyNumberFormat="1" applyFill="1" applyBorder="1"/>
    <xf numFmtId="165" fontId="0" fillId="16" borderId="9" xfId="0" applyNumberFormat="1" applyFill="1" applyBorder="1"/>
    <xf numFmtId="166" fontId="0" fillId="0" borderId="0" xfId="0" applyNumberFormat="1"/>
    <xf numFmtId="0" fontId="0" fillId="17" borderId="1" xfId="0" applyFill="1" applyBorder="1"/>
    <xf numFmtId="165" fontId="0" fillId="17" borderId="1" xfId="0" applyNumberFormat="1" applyFill="1" applyBorder="1"/>
    <xf numFmtId="165" fontId="0" fillId="17" borderId="2" xfId="0" applyNumberFormat="1" applyFill="1" applyBorder="1"/>
    <xf numFmtId="0" fontId="0" fillId="17" borderId="5" xfId="0" applyFill="1" applyBorder="1"/>
    <xf numFmtId="165" fontId="0" fillId="17" borderId="5" xfId="0" applyNumberFormat="1" applyFill="1" applyBorder="1"/>
    <xf numFmtId="165" fontId="0" fillId="17" borderId="9" xfId="0" applyNumberFormat="1" applyFill="1" applyBorder="1"/>
    <xf numFmtId="0" fontId="0" fillId="17" borderId="3" xfId="0" applyFill="1" applyBorder="1"/>
    <xf numFmtId="0" fontId="0" fillId="4" borderId="7" xfId="0" applyFill="1" applyBorder="1"/>
    <xf numFmtId="165" fontId="0" fillId="4" borderId="7" xfId="0" applyNumberFormat="1" applyFill="1" applyBorder="1"/>
    <xf numFmtId="165" fontId="0" fillId="17" borderId="3" xfId="0" applyNumberFormat="1" applyFill="1" applyBorder="1"/>
    <xf numFmtId="0" fontId="0" fillId="17" borderId="7" xfId="0" applyFill="1" applyBorder="1"/>
    <xf numFmtId="165" fontId="0" fillId="17" borderId="7" xfId="0" applyNumberFormat="1" applyFill="1" applyBorder="1"/>
    <xf numFmtId="0" fontId="0" fillId="17" borderId="10" xfId="0" applyFill="1" applyBorder="1"/>
    <xf numFmtId="0" fontId="0" fillId="17" borderId="0" xfId="0" applyFill="1"/>
    <xf numFmtId="0" fontId="0" fillId="18" borderId="0" xfId="0" applyFill="1"/>
    <xf numFmtId="166" fontId="0" fillId="18" borderId="0" xfId="0" applyNumberForma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6D3F-7B3B-4717-823B-BD224C79CE45}">
  <sheetPr>
    <tabColor theme="4"/>
  </sheetPr>
  <dimension ref="A1:N15"/>
  <sheetViews>
    <sheetView topLeftCell="A7" workbookViewId="0">
      <selection activeCell="P7" sqref="P7"/>
    </sheetView>
  </sheetViews>
  <sheetFormatPr defaultRowHeight="15"/>
  <cols>
    <col min="1" max="1" width="15.875" customWidth="1"/>
    <col min="2" max="2" width="9.5" bestFit="1" customWidth="1"/>
  </cols>
  <sheetData>
    <row r="1" spans="1:1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</v>
      </c>
    </row>
    <row r="2" spans="1:14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>
      <c r="A3" t="s">
        <v>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>
      <c r="A4" t="s">
        <v>15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t="s">
        <v>16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A7" t="s">
        <v>18</v>
      </c>
      <c r="B7">
        <v>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</row>
    <row r="8" spans="1:14">
      <c r="A8" t="s">
        <v>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>
      <c r="A9" t="s">
        <v>20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>
      <c r="A10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>
      <c r="A11" t="s">
        <v>22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>
      <c r="A12" t="s">
        <v>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>
      <c r="A13" t="s">
        <v>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25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>
      <c r="A15" t="s">
        <v>26</v>
      </c>
      <c r="B15">
        <f>100*(SUM(B2:B14))</f>
        <v>1300</v>
      </c>
      <c r="C15">
        <f t="shared" ref="C15:N15" si="0">100*(SUM(C2:C14))</f>
        <v>1500</v>
      </c>
      <c r="D15">
        <f t="shared" si="0"/>
        <v>1500</v>
      </c>
      <c r="E15">
        <f t="shared" si="0"/>
        <v>1500</v>
      </c>
      <c r="F15">
        <f t="shared" si="0"/>
        <v>1500</v>
      </c>
      <c r="G15">
        <f t="shared" si="0"/>
        <v>1500</v>
      </c>
      <c r="H15">
        <f t="shared" si="0"/>
        <v>1500</v>
      </c>
      <c r="I15">
        <f t="shared" si="0"/>
        <v>1500</v>
      </c>
      <c r="J15">
        <f t="shared" si="0"/>
        <v>1500</v>
      </c>
      <c r="K15">
        <f t="shared" si="0"/>
        <v>1500</v>
      </c>
      <c r="L15">
        <f t="shared" si="0"/>
        <v>1500</v>
      </c>
      <c r="M15">
        <f t="shared" si="0"/>
        <v>1500</v>
      </c>
      <c r="N15">
        <f t="shared" si="0"/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8AC5-BA31-40A3-A309-C44EBC4576D4}">
  <sheetPr>
    <tabColor theme="4"/>
  </sheetPr>
  <dimension ref="A2:R47"/>
  <sheetViews>
    <sheetView tabSelected="1" topLeftCell="A17" workbookViewId="0">
      <selection activeCell="E40" sqref="C40:E40"/>
    </sheetView>
  </sheetViews>
  <sheetFormatPr defaultRowHeight="15"/>
  <cols>
    <col min="1" max="1" width="15.125" bestFit="1" customWidth="1"/>
    <col min="2" max="2" width="14" bestFit="1" customWidth="1"/>
    <col min="3" max="3" width="11" bestFit="1" customWidth="1"/>
    <col min="4" max="4" width="9.75" customWidth="1"/>
    <col min="5" max="5" width="9.5" customWidth="1"/>
    <col min="6" max="10" width="9.75" customWidth="1"/>
    <col min="11" max="11" width="13.125" customWidth="1"/>
    <col min="12" max="14" width="9.75" customWidth="1"/>
    <col min="15" max="15" width="10.25" customWidth="1"/>
    <col min="16" max="16" width="10.5" bestFit="1" customWidth="1"/>
    <col min="17" max="17" width="18.5" bestFit="1" customWidth="1"/>
    <col min="18" max="18" width="19.875" bestFit="1" customWidth="1"/>
  </cols>
  <sheetData>
    <row r="2" spans="1:18">
      <c r="A2" s="3" t="s">
        <v>27</v>
      </c>
      <c r="B2" s="3" t="s">
        <v>28</v>
      </c>
      <c r="C2" s="3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</v>
      </c>
      <c r="Q2" s="41" t="s">
        <v>30</v>
      </c>
      <c r="R2" s="41" t="s">
        <v>31</v>
      </c>
    </row>
    <row r="3" spans="1:18">
      <c r="A3" s="6" t="s">
        <v>32</v>
      </c>
      <c r="B3" s="7">
        <v>1300</v>
      </c>
      <c r="C3" s="6">
        <v>12</v>
      </c>
      <c r="D3" s="6"/>
      <c r="E3" s="7">
        <v>146.69999999999999</v>
      </c>
      <c r="F3" s="4">
        <v>146.69999999999999</v>
      </c>
      <c r="G3" s="4">
        <v>146.69999999999999</v>
      </c>
      <c r="H3" s="4">
        <v>146.69999999999999</v>
      </c>
      <c r="I3" s="4">
        <v>146.69999999999999</v>
      </c>
      <c r="J3" s="4">
        <v>146.69999999999999</v>
      </c>
      <c r="K3" s="4">
        <v>146.69999999999999</v>
      </c>
      <c r="L3" s="4">
        <v>146.69999999999999</v>
      </c>
      <c r="M3" s="4">
        <v>146.69999999999999</v>
      </c>
      <c r="N3" s="4">
        <v>146.69999999999999</v>
      </c>
      <c r="O3" s="4">
        <v>146.69999999999999</v>
      </c>
      <c r="P3" s="39">
        <v>146.69999999999999</v>
      </c>
      <c r="Q3" s="4">
        <f>SUM(D3:P3)</f>
        <v>1760.4000000000003</v>
      </c>
      <c r="R3" s="4">
        <f>Q3-B3</f>
        <v>460.40000000000032</v>
      </c>
    </row>
    <row r="4" spans="1:18">
      <c r="A4" s="10" t="s">
        <v>33</v>
      </c>
      <c r="B4" s="11">
        <v>1856.7</v>
      </c>
      <c r="C4" s="10">
        <v>11</v>
      </c>
      <c r="D4" s="10"/>
      <c r="E4" s="11"/>
      <c r="F4" s="11">
        <v>223.5</v>
      </c>
      <c r="G4" s="4">
        <v>223.5</v>
      </c>
      <c r="H4" s="4">
        <v>223.5</v>
      </c>
      <c r="I4" s="4">
        <v>223.5</v>
      </c>
      <c r="J4" s="4">
        <v>223.5</v>
      </c>
      <c r="K4" s="4">
        <v>223.5</v>
      </c>
      <c r="L4" s="4">
        <v>223.5</v>
      </c>
      <c r="M4" s="4">
        <v>223.5</v>
      </c>
      <c r="N4" s="4">
        <v>223.5</v>
      </c>
      <c r="O4" s="4">
        <v>223.5</v>
      </c>
      <c r="P4" s="39">
        <v>223.5</v>
      </c>
      <c r="Q4" s="4">
        <f t="shared" ref="Q4:Q22" si="0">SUM(D4:P4)</f>
        <v>2458.5</v>
      </c>
      <c r="R4" s="4">
        <f t="shared" ref="R4:R22" si="1">Q4-B4</f>
        <v>601.79999999999995</v>
      </c>
    </row>
    <row r="5" spans="1:18">
      <c r="A5" s="8" t="s">
        <v>34</v>
      </c>
      <c r="B5" s="9">
        <v>1870.2</v>
      </c>
      <c r="C5" s="8">
        <v>7</v>
      </c>
      <c r="D5" s="8"/>
      <c r="E5" s="9"/>
      <c r="F5" s="9"/>
      <c r="G5" s="9">
        <v>323.2</v>
      </c>
      <c r="H5" s="4">
        <v>323.2</v>
      </c>
      <c r="I5" s="4">
        <v>323.2</v>
      </c>
      <c r="J5" s="4">
        <v>323.2</v>
      </c>
      <c r="K5" s="4">
        <v>323.2</v>
      </c>
      <c r="L5" s="4">
        <v>323.2</v>
      </c>
      <c r="M5" s="4">
        <v>323.2</v>
      </c>
      <c r="N5" s="4"/>
      <c r="O5" s="4"/>
      <c r="P5" s="39"/>
      <c r="Q5" s="4">
        <f t="shared" si="0"/>
        <v>2262.4</v>
      </c>
      <c r="R5" s="4">
        <f t="shared" si="1"/>
        <v>392.20000000000005</v>
      </c>
    </row>
    <row r="6" spans="1:18">
      <c r="A6" s="21" t="s">
        <v>35</v>
      </c>
      <c r="B6" s="22">
        <v>2193.5</v>
      </c>
      <c r="C6" s="21">
        <v>4</v>
      </c>
      <c r="D6" s="21"/>
      <c r="E6" s="22"/>
      <c r="F6" s="22"/>
      <c r="G6" s="22"/>
      <c r="H6" s="22">
        <v>618.6</v>
      </c>
      <c r="I6" s="4">
        <v>618.6</v>
      </c>
      <c r="J6" s="4">
        <v>618.6</v>
      </c>
      <c r="K6" s="4">
        <v>618.6</v>
      </c>
      <c r="L6" s="4"/>
      <c r="M6" s="4"/>
      <c r="N6" s="4"/>
      <c r="O6" s="4"/>
      <c r="P6" s="39"/>
      <c r="Q6" s="4">
        <f t="shared" si="0"/>
        <v>2474.4</v>
      </c>
      <c r="R6" s="4">
        <f t="shared" si="1"/>
        <v>280.90000000000009</v>
      </c>
    </row>
    <row r="7" spans="1:18">
      <c r="A7" s="13" t="s">
        <v>36</v>
      </c>
      <c r="B7" s="14">
        <v>2812.1</v>
      </c>
      <c r="C7" s="13">
        <v>7</v>
      </c>
      <c r="D7" s="13"/>
      <c r="E7" s="14"/>
      <c r="F7" s="14"/>
      <c r="G7" s="14"/>
      <c r="H7" s="14"/>
      <c r="I7" s="14">
        <v>486</v>
      </c>
      <c r="J7" s="4">
        <v>486</v>
      </c>
      <c r="K7" s="4">
        <v>486</v>
      </c>
      <c r="L7" s="4">
        <v>486</v>
      </c>
      <c r="M7" s="4">
        <v>486</v>
      </c>
      <c r="N7" s="4">
        <v>486</v>
      </c>
      <c r="O7" s="4">
        <v>486</v>
      </c>
      <c r="P7" s="39"/>
      <c r="Q7" s="4">
        <f t="shared" si="0"/>
        <v>3402</v>
      </c>
      <c r="R7" s="4">
        <f t="shared" si="1"/>
        <v>589.90000000000009</v>
      </c>
    </row>
    <row r="8" spans="1:18">
      <c r="A8" s="25" t="s">
        <v>37</v>
      </c>
      <c r="B8" s="26">
        <v>3298.1</v>
      </c>
      <c r="C8" s="25">
        <v>7</v>
      </c>
      <c r="D8" s="25"/>
      <c r="E8" s="26"/>
      <c r="F8" s="26"/>
      <c r="G8" s="26"/>
      <c r="H8" s="26"/>
      <c r="I8" s="26"/>
      <c r="J8" s="26">
        <v>570</v>
      </c>
      <c r="K8" s="4">
        <v>570</v>
      </c>
      <c r="L8" s="4">
        <v>570</v>
      </c>
      <c r="M8" s="4">
        <v>570</v>
      </c>
      <c r="N8" s="4">
        <v>570</v>
      </c>
      <c r="O8" s="4">
        <v>570</v>
      </c>
      <c r="P8" s="39">
        <v>570</v>
      </c>
      <c r="Q8" s="4">
        <f t="shared" si="0"/>
        <v>3990</v>
      </c>
      <c r="R8" s="4">
        <f t="shared" si="1"/>
        <v>691.90000000000009</v>
      </c>
    </row>
    <row r="9" spans="1:18">
      <c r="A9" s="27" t="s">
        <v>23</v>
      </c>
      <c r="B9" s="28">
        <v>3868.1</v>
      </c>
      <c r="C9" s="27">
        <v>6</v>
      </c>
      <c r="D9" s="27"/>
      <c r="E9" s="28"/>
      <c r="F9" s="28"/>
      <c r="G9" s="28"/>
      <c r="H9" s="28"/>
      <c r="I9" s="28"/>
      <c r="J9" s="28"/>
      <c r="K9" s="28">
        <v>762.1</v>
      </c>
      <c r="L9" s="12">
        <v>762.1</v>
      </c>
      <c r="M9" s="12">
        <v>762.1</v>
      </c>
      <c r="N9" s="12"/>
      <c r="O9" s="12"/>
      <c r="P9" s="40"/>
      <c r="Q9" s="4">
        <f>SUM(D9:P9)+M33</f>
        <v>4361.6000000000004</v>
      </c>
      <c r="R9" s="4">
        <f t="shared" si="1"/>
        <v>493.50000000000045</v>
      </c>
    </row>
    <row r="10" spans="1:18">
      <c r="A10" s="35" t="s">
        <v>24</v>
      </c>
      <c r="B10" s="36">
        <v>4630.1000000000004</v>
      </c>
      <c r="C10" s="35">
        <v>5</v>
      </c>
      <c r="D10" s="35"/>
      <c r="E10" s="36"/>
      <c r="F10" s="36"/>
      <c r="G10" s="36"/>
      <c r="H10" s="36"/>
      <c r="I10" s="36"/>
      <c r="J10" s="36"/>
      <c r="K10" s="36"/>
      <c r="L10" s="36">
        <v>1069.4000000000001</v>
      </c>
      <c r="M10" s="4">
        <v>1069.4000000000001</v>
      </c>
      <c r="N10" s="4">
        <v>1069.4000000000001</v>
      </c>
      <c r="O10" s="4">
        <v>1069.4000000000001</v>
      </c>
      <c r="P10" s="4">
        <v>1069.4000000000001</v>
      </c>
      <c r="Q10" s="4">
        <f t="shared" si="0"/>
        <v>5347</v>
      </c>
      <c r="R10" s="4">
        <f t="shared" si="1"/>
        <v>716.89999999999964</v>
      </c>
    </row>
    <row r="11" spans="1:18">
      <c r="A11" s="45" t="s">
        <v>18</v>
      </c>
      <c r="B11" s="46">
        <v>3580.9</v>
      </c>
      <c r="C11" s="45">
        <v>4</v>
      </c>
      <c r="D11" s="45"/>
      <c r="E11" s="46"/>
      <c r="F11" s="46"/>
      <c r="G11" s="46"/>
      <c r="H11" s="46"/>
      <c r="I11" s="46"/>
      <c r="J11" s="46"/>
      <c r="K11" s="46"/>
      <c r="L11" s="46"/>
      <c r="M11" s="46">
        <v>1009.9</v>
      </c>
      <c r="N11" s="4">
        <v>1009.9</v>
      </c>
      <c r="O11" s="4">
        <v>1009.9</v>
      </c>
      <c r="P11" s="4">
        <v>1009.9</v>
      </c>
      <c r="Q11" s="4">
        <f t="shared" si="0"/>
        <v>4039.6</v>
      </c>
      <c r="R11" s="4">
        <f t="shared" si="1"/>
        <v>458.69999999999982</v>
      </c>
    </row>
    <row r="12" spans="1:18">
      <c r="A12" s="45" t="s">
        <v>14</v>
      </c>
      <c r="B12" s="46">
        <v>1500</v>
      </c>
      <c r="C12" s="45">
        <v>4</v>
      </c>
      <c r="D12" s="45"/>
      <c r="E12" s="46"/>
      <c r="F12" s="46"/>
      <c r="G12" s="46"/>
      <c r="H12" s="46"/>
      <c r="I12" s="46"/>
      <c r="J12" s="46"/>
      <c r="K12" s="46"/>
      <c r="L12" s="46"/>
      <c r="M12" s="46">
        <v>423</v>
      </c>
      <c r="N12" s="4">
        <v>423</v>
      </c>
      <c r="O12" s="4">
        <v>423</v>
      </c>
      <c r="P12" s="4">
        <v>423</v>
      </c>
      <c r="Q12" s="4">
        <f t="shared" si="0"/>
        <v>1692</v>
      </c>
      <c r="R12" s="4">
        <f t="shared" si="1"/>
        <v>192</v>
      </c>
    </row>
    <row r="13" spans="1:18">
      <c r="A13" s="54" t="s">
        <v>23</v>
      </c>
      <c r="B13" s="55">
        <v>7000</v>
      </c>
      <c r="C13" s="54">
        <v>3</v>
      </c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>
        <v>2570.5</v>
      </c>
      <c r="O13" s="4">
        <v>2570.5</v>
      </c>
      <c r="P13" s="4">
        <v>2570.5</v>
      </c>
      <c r="Q13" s="4">
        <f t="shared" si="0"/>
        <v>7711.5</v>
      </c>
      <c r="R13" s="4">
        <f t="shared" si="1"/>
        <v>711.5</v>
      </c>
    </row>
    <row r="14" spans="1:18">
      <c r="A14" s="54" t="s">
        <v>13</v>
      </c>
      <c r="B14" s="55">
        <v>1589.1</v>
      </c>
      <c r="C14" s="54">
        <v>3</v>
      </c>
      <c r="D14" s="54"/>
      <c r="E14" s="55"/>
      <c r="F14" s="55"/>
      <c r="G14" s="55"/>
      <c r="H14" s="55"/>
      <c r="I14" s="55"/>
      <c r="J14" s="55"/>
      <c r="K14" s="55"/>
      <c r="L14" s="55"/>
      <c r="M14" s="55"/>
      <c r="N14" s="55">
        <v>583.5</v>
      </c>
      <c r="O14" s="4">
        <v>583.5</v>
      </c>
      <c r="P14" s="39">
        <v>583.5</v>
      </c>
      <c r="Q14" s="4">
        <f t="shared" si="0"/>
        <v>1750.5</v>
      </c>
      <c r="R14" s="4">
        <f t="shared" si="1"/>
        <v>161.40000000000009</v>
      </c>
    </row>
    <row r="15" spans="1:18">
      <c r="A15" s="8" t="s">
        <v>21</v>
      </c>
      <c r="B15" s="9">
        <v>4000</v>
      </c>
      <c r="C15" s="8">
        <v>2</v>
      </c>
      <c r="D15" s="8"/>
      <c r="E15" s="9"/>
      <c r="F15" s="9"/>
      <c r="G15" s="9"/>
      <c r="H15" s="9"/>
      <c r="I15" s="9"/>
      <c r="J15" s="9"/>
      <c r="K15" s="9"/>
      <c r="L15" s="9"/>
      <c r="M15" s="9"/>
      <c r="N15" s="61"/>
      <c r="O15" s="9">
        <v>2151.1999999999998</v>
      </c>
      <c r="P15" s="39">
        <v>2151.1999999999998</v>
      </c>
      <c r="Q15" s="4">
        <f t="shared" si="0"/>
        <v>4302.3999999999996</v>
      </c>
      <c r="R15" s="4">
        <f t="shared" si="1"/>
        <v>302.39999999999964</v>
      </c>
    </row>
    <row r="16" spans="1:18">
      <c r="A16" s="8" t="s">
        <v>15</v>
      </c>
      <c r="B16" s="9">
        <v>3500</v>
      </c>
      <c r="C16" s="8">
        <v>2</v>
      </c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>
        <v>1882.3</v>
      </c>
      <c r="P16" s="4">
        <v>1882.3</v>
      </c>
      <c r="Q16" s="4">
        <f t="shared" si="0"/>
        <v>3764.6</v>
      </c>
      <c r="R16" s="4">
        <f t="shared" si="1"/>
        <v>264.59999999999991</v>
      </c>
    </row>
    <row r="17" spans="1:18">
      <c r="A17" s="76" t="s">
        <v>22</v>
      </c>
      <c r="B17" s="77">
        <v>1082.5</v>
      </c>
      <c r="C17" s="8">
        <v>1</v>
      </c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>
        <v>1136.5999999999999</v>
      </c>
      <c r="P17" s="39"/>
      <c r="Q17" s="4">
        <f t="shared" si="0"/>
        <v>1136.5999999999999</v>
      </c>
      <c r="R17" s="4">
        <f t="shared" si="1"/>
        <v>54.099999999999909</v>
      </c>
    </row>
    <row r="18" spans="1:18" ht="15" customHeight="1">
      <c r="A18" s="69" t="s">
        <v>22</v>
      </c>
      <c r="B18" s="70">
        <v>2565.3000000000002</v>
      </c>
      <c r="C18" s="75">
        <v>1</v>
      </c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1">
        <v>2693.6</v>
      </c>
      <c r="Q18" s="4">
        <f t="shared" si="0"/>
        <v>2693.6</v>
      </c>
      <c r="R18" s="4">
        <f t="shared" si="1"/>
        <v>128.29999999999973</v>
      </c>
    </row>
    <row r="19" spans="1:18" ht="15" customHeight="1">
      <c r="A19" s="69" t="s">
        <v>20</v>
      </c>
      <c r="B19" s="70">
        <v>1215.3</v>
      </c>
      <c r="C19" s="75">
        <v>1</v>
      </c>
      <c r="D19" s="69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>
        <v>1276.0999999999999</v>
      </c>
      <c r="Q19" s="4">
        <f t="shared" si="0"/>
        <v>1276.0999999999999</v>
      </c>
      <c r="R19" s="4">
        <f t="shared" si="1"/>
        <v>60.799999999999955</v>
      </c>
    </row>
    <row r="20" spans="1:18" ht="15" customHeight="1">
      <c r="A20" s="69" t="s">
        <v>16</v>
      </c>
      <c r="B20" s="70">
        <v>2250</v>
      </c>
      <c r="C20" s="75">
        <v>1</v>
      </c>
      <c r="D20" s="69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1">
        <v>2362.5</v>
      </c>
      <c r="Q20" s="4">
        <f t="shared" si="0"/>
        <v>2362.5</v>
      </c>
      <c r="R20" s="4">
        <f t="shared" si="1"/>
        <v>112.5</v>
      </c>
    </row>
    <row r="21" spans="1:18" ht="15" customHeight="1">
      <c r="A21" s="69" t="s">
        <v>25</v>
      </c>
      <c r="B21" s="70">
        <v>1395.3</v>
      </c>
      <c r="C21" s="75">
        <v>1</v>
      </c>
      <c r="D21" s="69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1">
        <v>1465.1</v>
      </c>
      <c r="Q21" s="4">
        <f t="shared" si="0"/>
        <v>1465.1</v>
      </c>
      <c r="R21" s="4">
        <f t="shared" si="1"/>
        <v>69.799999999999955</v>
      </c>
    </row>
    <row r="22" spans="1:18">
      <c r="A22" s="79" t="s">
        <v>14</v>
      </c>
      <c r="B22" s="80">
        <v>1500</v>
      </c>
      <c r="C22" s="81">
        <v>1</v>
      </c>
      <c r="D22" s="79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1">
        <v>1575</v>
      </c>
      <c r="Q22" s="4">
        <f t="shared" si="0"/>
        <v>1575</v>
      </c>
      <c r="R22" s="4">
        <f t="shared" si="1"/>
        <v>75</v>
      </c>
    </row>
    <row r="23" spans="1:18" ht="15.75">
      <c r="A23" s="69" t="s">
        <v>17</v>
      </c>
      <c r="B23" s="70">
        <v>1765.3</v>
      </c>
      <c r="C23" s="69">
        <v>1</v>
      </c>
      <c r="D23" s="69"/>
      <c r="E23" s="78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>
        <v>1853.6</v>
      </c>
      <c r="Q23" s="4">
        <f>SUM(D23:P23)</f>
        <v>1853.6</v>
      </c>
      <c r="R23" s="4">
        <f>Q23-B23</f>
        <v>88.299999999999955</v>
      </c>
    </row>
    <row r="24" spans="1:18" ht="15.75">
      <c r="A24" s="79" t="s">
        <v>24</v>
      </c>
      <c r="B24" s="80">
        <v>765.3</v>
      </c>
      <c r="C24" s="69">
        <v>1</v>
      </c>
      <c r="D24" s="79"/>
      <c r="E24" s="78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>
        <v>803.6</v>
      </c>
      <c r="Q24" s="4">
        <f t="shared" ref="Q24:Q27" si="2">SUM(D24:P24)</f>
        <v>803.6</v>
      </c>
      <c r="R24" s="4">
        <f t="shared" ref="R24:R27" si="3">Q24-B24</f>
        <v>38.300000000000068</v>
      </c>
    </row>
    <row r="25" spans="1:18" ht="15.75">
      <c r="A25" s="79" t="s">
        <v>21</v>
      </c>
      <c r="B25" s="80">
        <v>765.3</v>
      </c>
      <c r="C25" s="69">
        <v>1</v>
      </c>
      <c r="D25" s="79"/>
      <c r="E25" s="78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>
        <v>803.6</v>
      </c>
      <c r="Q25" s="4">
        <f t="shared" si="2"/>
        <v>803.6</v>
      </c>
      <c r="R25" s="4">
        <f t="shared" si="3"/>
        <v>38.300000000000068</v>
      </c>
    </row>
    <row r="26" spans="1:18" ht="15.75">
      <c r="A26" s="79" t="s">
        <v>19</v>
      </c>
      <c r="B26" s="80">
        <v>765.3</v>
      </c>
      <c r="C26" s="69">
        <v>1</v>
      </c>
      <c r="D26" s="79"/>
      <c r="E26" s="78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>
        <v>803.6</v>
      </c>
      <c r="Q26" s="4">
        <f t="shared" si="2"/>
        <v>803.6</v>
      </c>
      <c r="R26" s="4">
        <f t="shared" si="3"/>
        <v>38.300000000000068</v>
      </c>
    </row>
    <row r="27" spans="1:18" ht="15.75">
      <c r="A27" s="79" t="s">
        <v>13</v>
      </c>
      <c r="B27" s="80">
        <v>765.3</v>
      </c>
      <c r="C27" s="69">
        <v>1</v>
      </c>
      <c r="D27" s="79"/>
      <c r="E27" s="78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1">
        <v>803.6</v>
      </c>
      <c r="Q27" s="4">
        <f t="shared" si="2"/>
        <v>803.6</v>
      </c>
      <c r="R27" s="4">
        <f t="shared" si="3"/>
        <v>38.300000000000068</v>
      </c>
    </row>
    <row r="28" spans="1:18" ht="15.75">
      <c r="A28" s="90" t="s">
        <v>26</v>
      </c>
      <c r="B28" s="91"/>
      <c r="C28" s="92"/>
      <c r="D28" s="4">
        <f>SUM(D3:D22)</f>
        <v>0</v>
      </c>
      <c r="E28" s="4">
        <f>SUM(E3:E22)</f>
        <v>146.69999999999999</v>
      </c>
      <c r="F28" s="4">
        <f t="shared" ref="F28:P28" si="4">SUM(F3:F22)</f>
        <v>370.2</v>
      </c>
      <c r="G28" s="4">
        <f t="shared" si="4"/>
        <v>693.4</v>
      </c>
      <c r="H28" s="4">
        <f t="shared" si="4"/>
        <v>1312</v>
      </c>
      <c r="I28" s="4">
        <f t="shared" si="4"/>
        <v>1798</v>
      </c>
      <c r="J28" s="4">
        <f t="shared" si="4"/>
        <v>2368</v>
      </c>
      <c r="K28" s="4">
        <f t="shared" si="4"/>
        <v>3130.1</v>
      </c>
      <c r="L28" s="4">
        <f t="shared" si="4"/>
        <v>3580.9</v>
      </c>
      <c r="M28" s="4">
        <f t="shared" si="4"/>
        <v>5013.8</v>
      </c>
      <c r="N28" s="4">
        <f t="shared" si="4"/>
        <v>7082.5</v>
      </c>
      <c r="O28" s="4">
        <f t="shared" si="4"/>
        <v>12252.6</v>
      </c>
      <c r="P28" s="39">
        <f t="shared" si="4"/>
        <v>20002.3</v>
      </c>
      <c r="Q28" s="85" t="s">
        <v>38</v>
      </c>
      <c r="R28" s="4">
        <f>SUM(R3:R27)</f>
        <v>7060.1000000000013</v>
      </c>
    </row>
    <row r="29" spans="1:18">
      <c r="Q29" s="83" t="s">
        <v>39</v>
      </c>
      <c r="R29" s="84">
        <f>R28/15</f>
        <v>470.6733333333334</v>
      </c>
    </row>
    <row r="30" spans="1:18">
      <c r="A30" s="98" t="s">
        <v>40</v>
      </c>
      <c r="B30" s="99"/>
      <c r="C30" s="100"/>
      <c r="D30" s="3" t="s">
        <v>1</v>
      </c>
      <c r="E30" s="3" t="s">
        <v>2</v>
      </c>
      <c r="F30" s="3" t="s">
        <v>3</v>
      </c>
      <c r="G30" s="3" t="s">
        <v>4</v>
      </c>
      <c r="H30" s="3" t="s">
        <v>5</v>
      </c>
      <c r="I30" s="3" t="s">
        <v>6</v>
      </c>
      <c r="J30" s="3" t="s">
        <v>7</v>
      </c>
      <c r="K30" s="3" t="s">
        <v>8</v>
      </c>
      <c r="L30" s="3" t="s">
        <v>9</v>
      </c>
      <c r="M30" s="3" t="s">
        <v>10</v>
      </c>
      <c r="N30" s="3" t="s">
        <v>11</v>
      </c>
      <c r="O30" s="3" t="s">
        <v>12</v>
      </c>
      <c r="P30" s="3" t="s">
        <v>1</v>
      </c>
    </row>
    <row r="31" spans="1:18">
      <c r="A31" s="94" t="s">
        <v>41</v>
      </c>
      <c r="B31" s="94"/>
      <c r="C31" s="94"/>
      <c r="D31" s="2"/>
      <c r="E31" s="2">
        <v>105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8">
      <c r="A32" s="95" t="s">
        <v>42</v>
      </c>
      <c r="B32" s="95"/>
      <c r="C32" s="95"/>
      <c r="D32" s="2"/>
      <c r="E32" s="2">
        <v>105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8">
      <c r="A33" s="95" t="s">
        <v>43</v>
      </c>
      <c r="B33" s="95"/>
      <c r="C33" s="95"/>
      <c r="D33" s="2"/>
      <c r="E33" s="2"/>
      <c r="F33" s="2"/>
      <c r="G33" s="2"/>
      <c r="H33" s="2"/>
      <c r="I33" s="2"/>
      <c r="J33" s="2"/>
      <c r="K33" s="2"/>
      <c r="L33" s="2"/>
      <c r="M33" s="2">
        <v>2075.3000000000002</v>
      </c>
      <c r="N33" s="2"/>
      <c r="O33" s="2"/>
      <c r="P33" s="2"/>
      <c r="Q33" s="83" t="s">
        <v>44</v>
      </c>
      <c r="R33" s="84">
        <f xml:space="preserve"> 1200 + R29</f>
        <v>1670.6733333333334</v>
      </c>
    </row>
    <row r="34" spans="1:18">
      <c r="A34" s="95"/>
      <c r="B34" s="95"/>
      <c r="C34" s="9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6" spans="1:18">
      <c r="A36" s="93" t="s">
        <v>45</v>
      </c>
      <c r="B36" s="93"/>
      <c r="C36" s="93"/>
      <c r="D36" s="4">
        <f>D28+'Participantes - Banquito'!B15+SUM(D31:D34)</f>
        <v>1300</v>
      </c>
      <c r="E36" s="4">
        <f>E28+'Participantes - Banquito'!C15+SUM(E31:E34)</f>
        <v>1856.7</v>
      </c>
      <c r="F36" s="4">
        <f>F28+'Participantes - Banquito'!D15+SUM(F31:F34)</f>
        <v>1870.2</v>
      </c>
      <c r="G36" s="4">
        <f>G28+'Participantes - Banquito'!E15+SUM(G31:G34)</f>
        <v>2193.4</v>
      </c>
      <c r="H36" s="4">
        <f>H28+'Participantes - Banquito'!F15+SUM(H31:H34)</f>
        <v>2812</v>
      </c>
      <c r="I36" s="4">
        <f>I28+'Participantes - Banquito'!G15+SUM(I31:I34)</f>
        <v>3298</v>
      </c>
      <c r="J36" s="4">
        <f>J28+'Participantes - Banquito'!H15+SUM(J31:J34)</f>
        <v>3868</v>
      </c>
      <c r="K36" s="4">
        <f>K28+'Participantes - Banquito'!I15+SUM(K31:K34)</f>
        <v>4630.1000000000004</v>
      </c>
      <c r="L36" s="4">
        <f>L28+'Participantes - Banquito'!J15+SUM(L31:L34)</f>
        <v>5080.8999999999996</v>
      </c>
      <c r="M36" s="4">
        <f>M28+'Participantes - Banquito'!K15+SUM(M31:M34)</f>
        <v>8589.1</v>
      </c>
      <c r="N36" s="4">
        <f>N28+'Participantes - Banquito'!L15+SUM(N31:N34)</f>
        <v>8582.5</v>
      </c>
      <c r="O36" s="4">
        <f>O28+'Participantes - Banquito'!M15+SUM(O31:O34)</f>
        <v>13752.6</v>
      </c>
      <c r="P36" s="4">
        <f>P28+'Participantes - Banquito'!N15+SUM(P31:P34)</f>
        <v>21502.3</v>
      </c>
    </row>
    <row r="37" spans="1:18" ht="15.75">
      <c r="K37" s="62"/>
    </row>
    <row r="38" spans="1:18" ht="15.75">
      <c r="A38" s="86" t="s">
        <v>46</v>
      </c>
      <c r="B38" s="86"/>
      <c r="C38" s="86"/>
      <c r="D38" s="86"/>
      <c r="E38" s="86"/>
      <c r="K38" s="68"/>
    </row>
    <row r="39" spans="1:18">
      <c r="A39" s="96" t="s">
        <v>47</v>
      </c>
      <c r="B39" s="97"/>
      <c r="C39" s="4">
        <v>1335.4</v>
      </c>
      <c r="D39" s="2" t="s">
        <v>48</v>
      </c>
      <c r="E39" s="2">
        <v>5</v>
      </c>
      <c r="J39" s="68">
        <f>O36-SUM(B18:B27)</f>
        <v>0.20000000000254659</v>
      </c>
    </row>
    <row r="40" spans="1:18">
      <c r="A40" s="96" t="s">
        <v>49</v>
      </c>
      <c r="B40" s="97"/>
      <c r="C40" s="87">
        <f>(C39*0.05*(1+0.05)^E39)/(((1+0.05)^E39)-1)</f>
        <v>308.44374542048922</v>
      </c>
      <c r="D40" s="88"/>
      <c r="E40" s="89"/>
    </row>
    <row r="41" spans="1:18">
      <c r="N41">
        <v>2400</v>
      </c>
    </row>
    <row r="42" spans="1:18">
      <c r="B42" t="s">
        <v>50</v>
      </c>
      <c r="C42" s="68">
        <f>C40*E39</f>
        <v>1542.2187271024461</v>
      </c>
    </row>
    <row r="43" spans="1:18">
      <c r="B43" t="s">
        <v>51</v>
      </c>
      <c r="C43" s="68">
        <f>C42-C39</f>
        <v>206.81872710244602</v>
      </c>
    </row>
    <row r="47" spans="1:18" ht="15.75"/>
  </sheetData>
  <autoFilter ref="A2:R33" xr:uid="{68358AC5-BA31-40A3-A309-C44EBC4576D4}"/>
  <mergeCells count="11">
    <mergeCell ref="A38:E38"/>
    <mergeCell ref="C40:E40"/>
    <mergeCell ref="A28:C28"/>
    <mergeCell ref="A36:C36"/>
    <mergeCell ref="A31:C31"/>
    <mergeCell ref="A32:C32"/>
    <mergeCell ref="A33:C33"/>
    <mergeCell ref="A34:C34"/>
    <mergeCell ref="A39:B39"/>
    <mergeCell ref="A40:B40"/>
    <mergeCell ref="A30:C30"/>
  </mergeCells>
  <dataValidations count="1">
    <dataValidation allowBlank="1" showInputMessage="1" showErrorMessage="1" sqref="C39 B10:B27" xr:uid="{D1E449D5-3482-467D-A134-7A7A819CEC9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B7D1F8-AE41-4D8B-A5ED-331ABCDA6EF3}">
          <x14:formula1>
            <xm:f>'Participantes - Banquito'!$A$2:$A$14</xm:f>
          </x14:formula1>
          <xm:sqref>A9:A27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59C0-1215-4DFE-B3EB-EE1A182B2986}">
  <sheetPr>
    <tabColor theme="5"/>
  </sheetPr>
  <dimension ref="A1:N20"/>
  <sheetViews>
    <sheetView topLeftCell="A6" workbookViewId="0">
      <selection activeCell="B20" sqref="B20"/>
    </sheetView>
  </sheetViews>
  <sheetFormatPr defaultRowHeight="15"/>
  <cols>
    <col min="1" max="1" width="15.875" customWidth="1"/>
    <col min="2" max="2" width="9.5" bestFit="1" customWidth="1"/>
  </cols>
  <sheetData>
    <row r="1" spans="1:1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</v>
      </c>
    </row>
    <row r="2" spans="1:14">
      <c r="A2" t="s">
        <v>13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</row>
    <row r="3" spans="1:14">
      <c r="A3" s="82" t="s">
        <v>52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</row>
    <row r="4" spans="1:14">
      <c r="A4" t="s">
        <v>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</row>
    <row r="5" spans="1:14">
      <c r="A5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>
      <c r="A6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A7" t="s">
        <v>16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</row>
    <row r="8" spans="1:14">
      <c r="A8" t="s">
        <v>55</v>
      </c>
      <c r="B8">
        <v>3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</row>
    <row r="9" spans="1:14">
      <c r="A9" t="s">
        <v>56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>
      <c r="A10" t="s">
        <v>57</v>
      </c>
      <c r="B10">
        <v>1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>
      <c r="A11" s="82" t="s">
        <v>18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>
      <c r="A12" t="s">
        <v>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>
      <c r="A13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58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>
      <c r="A16" t="s">
        <v>59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s="82" t="s">
        <v>60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>
      <c r="A18" s="82" t="s">
        <v>61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>
      <c r="A19" t="s">
        <v>62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>
      <c r="A20" t="s">
        <v>26</v>
      </c>
      <c r="B20">
        <f>20*(SUM(B2:B19))</f>
        <v>600</v>
      </c>
      <c r="C20">
        <f t="shared" ref="C20:N20" si="0">20*(SUM(C2:C19))</f>
        <v>640</v>
      </c>
      <c r="D20">
        <f t="shared" si="0"/>
        <v>640</v>
      </c>
      <c r="E20">
        <f t="shared" si="0"/>
        <v>640</v>
      </c>
      <c r="F20">
        <f t="shared" si="0"/>
        <v>640</v>
      </c>
      <c r="G20">
        <f t="shared" si="0"/>
        <v>640</v>
      </c>
      <c r="H20">
        <f t="shared" si="0"/>
        <v>640</v>
      </c>
      <c r="I20">
        <f t="shared" si="0"/>
        <v>640</v>
      </c>
      <c r="J20">
        <f t="shared" si="0"/>
        <v>640</v>
      </c>
      <c r="K20">
        <f t="shared" si="0"/>
        <v>640</v>
      </c>
      <c r="L20">
        <f t="shared" si="0"/>
        <v>640</v>
      </c>
      <c r="M20">
        <f t="shared" si="0"/>
        <v>640</v>
      </c>
      <c r="N20">
        <f t="shared" si="0"/>
        <v>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3973-FC18-45E5-A831-DD761BE527D2}">
  <sheetPr>
    <tabColor theme="5"/>
  </sheetPr>
  <dimension ref="A2:R56"/>
  <sheetViews>
    <sheetView topLeftCell="A43" workbookViewId="0">
      <selection activeCell="B52" sqref="B52"/>
    </sheetView>
  </sheetViews>
  <sheetFormatPr defaultRowHeight="15"/>
  <cols>
    <col min="1" max="1" width="17.375" customWidth="1"/>
    <col min="2" max="2" width="14.625" bestFit="1" customWidth="1"/>
    <col min="3" max="3" width="9.125" bestFit="1" customWidth="1"/>
    <col min="4" max="12" width="9.75" bestFit="1" customWidth="1"/>
    <col min="13" max="13" width="9.5" bestFit="1" customWidth="1"/>
    <col min="14" max="14" width="9.75" bestFit="1" customWidth="1"/>
    <col min="15" max="15" width="10.25" bestFit="1" customWidth="1"/>
    <col min="16" max="16" width="9.75" bestFit="1" customWidth="1"/>
    <col min="17" max="17" width="17.75" bestFit="1" customWidth="1"/>
    <col min="18" max="18" width="17.875" bestFit="1" customWidth="1"/>
  </cols>
  <sheetData>
    <row r="2" spans="1:18" ht="15.75">
      <c r="A2" s="3" t="s">
        <v>27</v>
      </c>
      <c r="B2" s="3" t="s">
        <v>63</v>
      </c>
      <c r="C2" s="3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</v>
      </c>
      <c r="Q2" s="41" t="s">
        <v>30</v>
      </c>
      <c r="R2" s="41" t="s">
        <v>31</v>
      </c>
    </row>
    <row r="3" spans="1:18" ht="15.75">
      <c r="A3" s="6" t="s">
        <v>15</v>
      </c>
      <c r="B3" s="7">
        <v>300</v>
      </c>
      <c r="C3" s="6">
        <v>2</v>
      </c>
      <c r="D3" s="6"/>
      <c r="E3" s="7">
        <v>165</v>
      </c>
      <c r="F3" s="12">
        <v>165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4">
        <f>SUM(D3:P3)</f>
        <v>330</v>
      </c>
      <c r="R3" s="4">
        <f>Q3-B3</f>
        <v>30</v>
      </c>
    </row>
    <row r="4" spans="1:18">
      <c r="A4" s="6" t="s">
        <v>52</v>
      </c>
      <c r="B4" s="7">
        <v>300</v>
      </c>
      <c r="C4" s="6">
        <v>2</v>
      </c>
      <c r="D4" s="6"/>
      <c r="E4" s="7">
        <v>165</v>
      </c>
      <c r="F4" s="12">
        <v>165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4">
        <f t="shared" ref="Q4:Q38" si="0">SUM(D4:P4)</f>
        <v>330</v>
      </c>
      <c r="R4" s="4">
        <f t="shared" ref="R4:R38" si="1">Q4-B4</f>
        <v>30</v>
      </c>
    </row>
    <row r="5" spans="1:18">
      <c r="A5" s="8" t="s">
        <v>64</v>
      </c>
      <c r="B5" s="9">
        <v>100</v>
      </c>
      <c r="C5" s="8">
        <v>3</v>
      </c>
      <c r="D5" s="8"/>
      <c r="E5" s="9"/>
      <c r="F5" s="9">
        <v>48.3</v>
      </c>
      <c r="G5" s="4">
        <v>48.3</v>
      </c>
      <c r="H5" s="4">
        <v>48.3</v>
      </c>
      <c r="I5" s="4"/>
      <c r="J5" s="4"/>
      <c r="K5" s="4"/>
      <c r="L5" s="4"/>
      <c r="M5" s="4"/>
      <c r="N5" s="4"/>
      <c r="O5" s="4"/>
      <c r="P5" s="4"/>
      <c r="Q5" s="4">
        <f t="shared" si="0"/>
        <v>144.89999999999998</v>
      </c>
      <c r="R5" s="4">
        <f t="shared" si="1"/>
        <v>44.899999999999977</v>
      </c>
    </row>
    <row r="6" spans="1:18">
      <c r="A6" s="8" t="s">
        <v>53</v>
      </c>
      <c r="B6" s="9">
        <v>400</v>
      </c>
      <c r="C6" s="8">
        <v>4</v>
      </c>
      <c r="D6" s="8"/>
      <c r="E6" s="9"/>
      <c r="F6" s="9">
        <v>120</v>
      </c>
      <c r="G6" s="4">
        <v>120</v>
      </c>
      <c r="H6" s="4">
        <v>120</v>
      </c>
      <c r="I6" s="4">
        <v>120</v>
      </c>
      <c r="J6" s="4"/>
      <c r="K6" s="4"/>
      <c r="L6" s="4"/>
      <c r="M6" s="4"/>
      <c r="N6" s="4"/>
      <c r="O6" s="4"/>
      <c r="P6" s="4"/>
      <c r="Q6" s="4">
        <f t="shared" si="0"/>
        <v>480</v>
      </c>
      <c r="R6" s="4">
        <f t="shared" si="1"/>
        <v>80</v>
      </c>
    </row>
    <row r="7" spans="1:18">
      <c r="A7" s="8" t="s">
        <v>25</v>
      </c>
      <c r="B7" s="9">
        <v>492</v>
      </c>
      <c r="C7" s="8">
        <v>10</v>
      </c>
      <c r="D7" s="8"/>
      <c r="E7" s="9"/>
      <c r="F7" s="9">
        <v>73.8</v>
      </c>
      <c r="G7" s="4">
        <v>73.8</v>
      </c>
      <c r="H7" s="4">
        <v>73.8</v>
      </c>
      <c r="I7" s="4">
        <v>73.8</v>
      </c>
      <c r="J7" s="4">
        <v>73.8</v>
      </c>
      <c r="K7" s="4">
        <v>73.8</v>
      </c>
      <c r="L7" s="4">
        <v>73.8</v>
      </c>
      <c r="M7" s="4">
        <v>73.8</v>
      </c>
      <c r="N7" s="4">
        <v>73.8</v>
      </c>
      <c r="O7" s="4">
        <v>73.8</v>
      </c>
      <c r="P7" s="4"/>
      <c r="Q7" s="4">
        <f t="shared" si="0"/>
        <v>737.99999999999989</v>
      </c>
      <c r="R7" s="4">
        <f t="shared" si="1"/>
        <v>245.99999999999989</v>
      </c>
    </row>
    <row r="8" spans="1:18">
      <c r="A8" s="8" t="s">
        <v>57</v>
      </c>
      <c r="B8" s="9">
        <v>40</v>
      </c>
      <c r="C8" s="8">
        <v>1</v>
      </c>
      <c r="D8" s="8"/>
      <c r="E8" s="9"/>
      <c r="F8" s="9">
        <v>42</v>
      </c>
      <c r="G8" s="4"/>
      <c r="H8" s="4"/>
      <c r="I8" s="4"/>
      <c r="J8" s="4"/>
      <c r="K8" s="4"/>
      <c r="L8" s="4"/>
      <c r="M8" s="4"/>
      <c r="N8" s="4"/>
      <c r="O8" s="4"/>
      <c r="P8" s="4"/>
      <c r="Q8" s="4">
        <f t="shared" si="0"/>
        <v>42</v>
      </c>
      <c r="R8" s="4">
        <f t="shared" si="1"/>
        <v>2</v>
      </c>
    </row>
    <row r="9" spans="1:18">
      <c r="A9" s="10" t="s">
        <v>65</v>
      </c>
      <c r="B9" s="11">
        <v>313.5</v>
      </c>
      <c r="C9" s="10">
        <v>3</v>
      </c>
      <c r="D9" s="10"/>
      <c r="E9" s="11"/>
      <c r="F9" s="11"/>
      <c r="G9" s="11">
        <v>120.2</v>
      </c>
      <c r="H9" s="4">
        <v>120.2</v>
      </c>
      <c r="I9" s="4">
        <v>120.2</v>
      </c>
      <c r="J9" s="4"/>
      <c r="K9" s="4"/>
      <c r="L9" s="4"/>
      <c r="M9" s="4"/>
      <c r="N9" s="4"/>
      <c r="O9" s="4"/>
      <c r="P9" s="4"/>
      <c r="Q9" s="4">
        <f>SUM(D9:P9)+M25</f>
        <v>360.6</v>
      </c>
      <c r="R9" s="4">
        <f t="shared" si="1"/>
        <v>47.100000000000023</v>
      </c>
    </row>
    <row r="10" spans="1:18">
      <c r="A10" s="10" t="s">
        <v>18</v>
      </c>
      <c r="B10" s="11">
        <v>313.60000000000002</v>
      </c>
      <c r="C10" s="10">
        <v>3</v>
      </c>
      <c r="D10" s="10"/>
      <c r="E10" s="11"/>
      <c r="F10" s="11"/>
      <c r="G10" s="11">
        <v>120.2</v>
      </c>
      <c r="H10" s="4">
        <v>120.2</v>
      </c>
      <c r="I10" s="4">
        <v>120.2</v>
      </c>
      <c r="J10" s="4"/>
      <c r="K10" s="4"/>
      <c r="L10" s="4"/>
      <c r="M10" s="4"/>
      <c r="N10" s="4"/>
      <c r="O10" s="4"/>
      <c r="P10" s="4"/>
      <c r="Q10" s="4">
        <f t="shared" si="0"/>
        <v>360.6</v>
      </c>
      <c r="R10" s="4">
        <f t="shared" si="1"/>
        <v>47</v>
      </c>
    </row>
    <row r="11" spans="1:18">
      <c r="A11" s="10" t="s">
        <v>59</v>
      </c>
      <c r="B11" s="11">
        <v>313.5</v>
      </c>
      <c r="C11" s="10">
        <v>6</v>
      </c>
      <c r="D11" s="10"/>
      <c r="E11" s="11"/>
      <c r="F11" s="11"/>
      <c r="G11" s="11">
        <v>67.900000000000006</v>
      </c>
      <c r="H11" s="12">
        <v>67.900000000000006</v>
      </c>
      <c r="I11" s="12">
        <v>67.900000000000006</v>
      </c>
      <c r="J11" s="12">
        <v>67.900000000000006</v>
      </c>
      <c r="K11" s="12">
        <v>67.900000000000006</v>
      </c>
      <c r="L11" s="12">
        <v>67.900000000000006</v>
      </c>
      <c r="M11" s="4"/>
      <c r="N11" s="4"/>
      <c r="O11" s="4"/>
      <c r="P11" s="4"/>
      <c r="Q11" s="4">
        <f t="shared" si="0"/>
        <v>407.4</v>
      </c>
      <c r="R11" s="4">
        <f t="shared" si="1"/>
        <v>93.899999999999977</v>
      </c>
    </row>
    <row r="12" spans="1:18">
      <c r="A12" s="10" t="s">
        <v>15</v>
      </c>
      <c r="B12" s="11">
        <v>313.5</v>
      </c>
      <c r="C12" s="10">
        <v>2</v>
      </c>
      <c r="D12" s="10"/>
      <c r="E12" s="11"/>
      <c r="F12" s="11"/>
      <c r="G12" s="11">
        <v>172.4</v>
      </c>
      <c r="H12" s="12">
        <v>172.4</v>
      </c>
      <c r="I12" s="4"/>
      <c r="J12" s="4"/>
      <c r="K12" s="4"/>
      <c r="L12" s="4"/>
      <c r="M12" s="4"/>
      <c r="N12" s="4"/>
      <c r="O12" s="4"/>
      <c r="P12" s="4"/>
      <c r="Q12" s="4">
        <f t="shared" si="0"/>
        <v>344.8</v>
      </c>
      <c r="R12" s="4">
        <f t="shared" si="1"/>
        <v>31.300000000000011</v>
      </c>
    </row>
    <row r="13" spans="1:18">
      <c r="A13" s="13" t="s">
        <v>24</v>
      </c>
      <c r="B13" s="14">
        <v>521.4</v>
      </c>
      <c r="C13" s="13">
        <v>2</v>
      </c>
      <c r="D13" s="13"/>
      <c r="E13" s="14"/>
      <c r="F13" s="14"/>
      <c r="G13" s="14"/>
      <c r="H13" s="14">
        <v>268.8</v>
      </c>
      <c r="I13" s="4">
        <v>286.8</v>
      </c>
      <c r="J13" s="4"/>
      <c r="K13" s="4"/>
      <c r="L13" s="4"/>
      <c r="M13" s="4"/>
      <c r="N13" s="4"/>
      <c r="O13" s="4"/>
      <c r="P13" s="4"/>
      <c r="Q13" s="4">
        <f t="shared" si="0"/>
        <v>555.6</v>
      </c>
      <c r="R13" s="4">
        <f t="shared" si="1"/>
        <v>34.200000000000045</v>
      </c>
    </row>
    <row r="14" spans="1:18">
      <c r="A14" s="13" t="s">
        <v>66</v>
      </c>
      <c r="B14" s="14">
        <v>521.4</v>
      </c>
      <c r="C14" s="13">
        <v>5</v>
      </c>
      <c r="D14" s="13"/>
      <c r="E14" s="14"/>
      <c r="F14" s="14"/>
      <c r="G14" s="14"/>
      <c r="H14" s="14">
        <v>130.4</v>
      </c>
      <c r="I14" s="12">
        <v>130.4</v>
      </c>
      <c r="J14" s="12">
        <v>130.4</v>
      </c>
      <c r="K14" s="12">
        <v>130.4</v>
      </c>
      <c r="L14" s="12">
        <v>130.4</v>
      </c>
      <c r="M14" s="4"/>
      <c r="N14" s="4"/>
      <c r="O14" s="4"/>
      <c r="P14" s="4"/>
      <c r="Q14" s="4">
        <f t="shared" si="0"/>
        <v>652</v>
      </c>
      <c r="R14" s="4">
        <f t="shared" si="1"/>
        <v>130.60000000000002</v>
      </c>
    </row>
    <row r="15" spans="1:18">
      <c r="A15" s="17" t="s">
        <v>19</v>
      </c>
      <c r="B15" s="18">
        <v>300</v>
      </c>
      <c r="C15" s="17">
        <v>3</v>
      </c>
      <c r="D15" s="17"/>
      <c r="E15" s="14"/>
      <c r="F15" s="14"/>
      <c r="G15" s="14"/>
      <c r="H15" s="18">
        <v>75</v>
      </c>
      <c r="I15" s="12">
        <v>75</v>
      </c>
      <c r="J15" s="12"/>
      <c r="K15" s="12"/>
      <c r="L15" s="12"/>
      <c r="M15" s="4"/>
      <c r="N15" s="4"/>
      <c r="O15" s="4"/>
      <c r="P15" s="4"/>
      <c r="Q15" s="4">
        <f t="shared" si="0"/>
        <v>150</v>
      </c>
      <c r="R15" s="4">
        <f t="shared" si="1"/>
        <v>-150</v>
      </c>
    </row>
    <row r="16" spans="1:18">
      <c r="A16" s="21" t="s">
        <v>17</v>
      </c>
      <c r="B16" s="22">
        <v>918.5</v>
      </c>
      <c r="C16" s="21">
        <v>6</v>
      </c>
      <c r="D16" s="21"/>
      <c r="E16" s="23"/>
      <c r="F16" s="22"/>
      <c r="G16" s="24"/>
      <c r="H16" s="21"/>
      <c r="I16" s="23">
        <v>199</v>
      </c>
      <c r="J16" s="16">
        <v>199</v>
      </c>
      <c r="K16" s="16">
        <v>199</v>
      </c>
      <c r="L16" s="16">
        <v>199</v>
      </c>
      <c r="M16" s="16">
        <v>199</v>
      </c>
      <c r="N16" s="16">
        <v>199</v>
      </c>
      <c r="O16" s="4"/>
      <c r="P16" s="4"/>
      <c r="Q16" s="4">
        <f t="shared" si="0"/>
        <v>1194</v>
      </c>
      <c r="R16" s="4">
        <f t="shared" si="1"/>
        <v>275.5</v>
      </c>
    </row>
    <row r="17" spans="1:18">
      <c r="A17" s="21" t="s">
        <v>62</v>
      </c>
      <c r="B17" s="22">
        <v>918.5</v>
      </c>
      <c r="C17" s="21">
        <v>3</v>
      </c>
      <c r="D17" s="21"/>
      <c r="E17" s="23"/>
      <c r="F17" s="22"/>
      <c r="G17" s="24"/>
      <c r="H17" s="21"/>
      <c r="I17" s="23">
        <v>352.1</v>
      </c>
      <c r="J17" s="16">
        <v>352.1</v>
      </c>
      <c r="K17" s="16">
        <v>352.1</v>
      </c>
      <c r="L17" s="4"/>
      <c r="M17" s="4"/>
      <c r="N17" s="4"/>
      <c r="O17" s="4"/>
      <c r="P17" s="4"/>
      <c r="Q17" s="4">
        <f t="shared" si="0"/>
        <v>1056.3000000000002</v>
      </c>
      <c r="R17" s="4">
        <f t="shared" si="1"/>
        <v>137.80000000000018</v>
      </c>
    </row>
    <row r="18" spans="1:18">
      <c r="A18" s="33" t="s">
        <v>52</v>
      </c>
      <c r="B18" s="34">
        <v>2384.3000000000002</v>
      </c>
      <c r="C18" s="33">
        <v>6</v>
      </c>
      <c r="D18" s="27"/>
      <c r="E18" s="29"/>
      <c r="F18" s="28"/>
      <c r="G18" s="28"/>
      <c r="H18" s="30"/>
      <c r="I18" s="28"/>
      <c r="J18" s="28">
        <v>516.6</v>
      </c>
      <c r="K18" s="4">
        <v>516.6</v>
      </c>
      <c r="L18" s="4">
        <v>516.6</v>
      </c>
      <c r="M18" s="4">
        <v>516.6</v>
      </c>
      <c r="N18" s="4">
        <v>516.6</v>
      </c>
      <c r="O18" s="4">
        <v>516.6</v>
      </c>
      <c r="P18" s="4"/>
      <c r="Q18" s="4">
        <f t="shared" si="0"/>
        <v>3099.6</v>
      </c>
      <c r="R18" s="4">
        <f t="shared" si="1"/>
        <v>715.29999999999973</v>
      </c>
    </row>
    <row r="19" spans="1:18">
      <c r="A19" s="35" t="s">
        <v>15</v>
      </c>
      <c r="B19" s="36">
        <v>989.9</v>
      </c>
      <c r="C19" s="35">
        <v>4</v>
      </c>
      <c r="D19" s="37"/>
      <c r="E19" s="38"/>
      <c r="F19" s="36"/>
      <c r="G19" s="36"/>
      <c r="H19" s="36"/>
      <c r="I19" s="36"/>
      <c r="J19" s="36"/>
      <c r="K19" s="36">
        <v>297</v>
      </c>
      <c r="L19" s="12">
        <v>297</v>
      </c>
      <c r="M19" s="12">
        <v>297</v>
      </c>
      <c r="N19" s="12">
        <v>297</v>
      </c>
      <c r="O19" s="4"/>
      <c r="P19" s="4"/>
      <c r="Q19" s="4">
        <f t="shared" si="0"/>
        <v>1188</v>
      </c>
      <c r="R19" s="4">
        <f t="shared" si="1"/>
        <v>198.10000000000002</v>
      </c>
    </row>
    <row r="20" spans="1:18">
      <c r="A20" s="35" t="s">
        <v>65</v>
      </c>
      <c r="B20" s="36">
        <v>989.9</v>
      </c>
      <c r="C20" s="35">
        <v>5</v>
      </c>
      <c r="D20" s="37"/>
      <c r="E20" s="38"/>
      <c r="F20" s="36"/>
      <c r="G20" s="36"/>
      <c r="H20" s="36"/>
      <c r="I20" s="36"/>
      <c r="J20" s="36"/>
      <c r="K20" s="36">
        <v>247.5</v>
      </c>
      <c r="L20" s="4">
        <v>247.5</v>
      </c>
      <c r="M20" s="4">
        <v>247.5</v>
      </c>
      <c r="N20" s="4">
        <v>247.5</v>
      </c>
      <c r="O20" s="4">
        <v>247.5</v>
      </c>
      <c r="P20" s="4"/>
      <c r="Q20" s="4">
        <f t="shared" si="0"/>
        <v>1237.5</v>
      </c>
      <c r="R20" s="4">
        <f t="shared" si="1"/>
        <v>247.60000000000002</v>
      </c>
    </row>
    <row r="21" spans="1:18" ht="15.75">
      <c r="A21" s="6" t="s">
        <v>52</v>
      </c>
      <c r="B21" s="7">
        <v>2628.6000000000004</v>
      </c>
      <c r="C21" s="6">
        <v>4</v>
      </c>
      <c r="D21" s="43"/>
      <c r="E21" s="44"/>
      <c r="F21" s="7"/>
      <c r="G21" s="7"/>
      <c r="H21" s="7"/>
      <c r="I21" s="7"/>
      <c r="J21" s="7"/>
      <c r="K21" s="7"/>
      <c r="L21" s="7">
        <v>657.2</v>
      </c>
      <c r="M21" s="4">
        <v>657.2</v>
      </c>
      <c r="N21" s="4">
        <v>657.2</v>
      </c>
      <c r="O21" s="4">
        <v>657.2</v>
      </c>
      <c r="P21" s="4">
        <v>657.2</v>
      </c>
      <c r="Q21" s="4">
        <f t="shared" si="0"/>
        <v>3286</v>
      </c>
      <c r="R21" s="4">
        <f t="shared" si="1"/>
        <v>657.39999999999964</v>
      </c>
    </row>
    <row r="22" spans="1:18">
      <c r="A22" s="47" t="s">
        <v>13</v>
      </c>
      <c r="B22" s="48">
        <v>500</v>
      </c>
      <c r="C22" s="47">
        <v>4</v>
      </c>
      <c r="D22" s="49"/>
      <c r="E22" s="50"/>
      <c r="F22" s="48"/>
      <c r="G22" s="48"/>
      <c r="H22" s="48"/>
      <c r="I22" s="48"/>
      <c r="J22" s="48"/>
      <c r="K22" s="48"/>
      <c r="L22" s="48"/>
      <c r="M22" s="48">
        <v>150</v>
      </c>
      <c r="N22" s="4">
        <v>150</v>
      </c>
      <c r="O22" s="4">
        <v>150</v>
      </c>
      <c r="P22" s="4">
        <v>150</v>
      </c>
      <c r="Q22" s="4">
        <f t="shared" si="0"/>
        <v>600</v>
      </c>
      <c r="R22" s="4">
        <f t="shared" si="1"/>
        <v>100</v>
      </c>
    </row>
    <row r="23" spans="1:18">
      <c r="A23" s="47" t="s">
        <v>59</v>
      </c>
      <c r="B23" s="48">
        <v>1500</v>
      </c>
      <c r="C23" s="47">
        <v>3</v>
      </c>
      <c r="D23" s="51"/>
      <c r="E23" s="52"/>
      <c r="F23" s="53"/>
      <c r="G23" s="53"/>
      <c r="H23" s="53"/>
      <c r="I23" s="53"/>
      <c r="J23" s="53"/>
      <c r="K23" s="53"/>
      <c r="L23" s="53"/>
      <c r="M23" s="53">
        <v>575</v>
      </c>
      <c r="N23" s="19">
        <v>575</v>
      </c>
      <c r="O23" s="19">
        <v>575</v>
      </c>
      <c r="P23" s="19"/>
      <c r="Q23" s="4">
        <f t="shared" si="0"/>
        <v>1725</v>
      </c>
      <c r="R23" s="4">
        <f t="shared" si="1"/>
        <v>225</v>
      </c>
    </row>
    <row r="24" spans="1:18">
      <c r="A24" s="47" t="s">
        <v>18</v>
      </c>
      <c r="B24" s="48">
        <v>699</v>
      </c>
      <c r="C24" s="47"/>
      <c r="D24" s="51"/>
      <c r="E24" s="52"/>
      <c r="F24" s="53"/>
      <c r="G24" s="53"/>
      <c r="H24" s="53"/>
      <c r="I24" s="53"/>
      <c r="J24" s="53"/>
      <c r="K24" s="53"/>
      <c r="L24" s="53"/>
      <c r="M24" s="53">
        <v>209.7</v>
      </c>
      <c r="N24" s="19">
        <v>209.7</v>
      </c>
      <c r="O24" s="19">
        <v>209.7</v>
      </c>
      <c r="P24" s="19">
        <v>209.7</v>
      </c>
      <c r="Q24" s="4">
        <f t="shared" si="0"/>
        <v>838.8</v>
      </c>
      <c r="R24" s="4">
        <f t="shared" si="1"/>
        <v>139.79999999999995</v>
      </c>
    </row>
    <row r="25" spans="1:18">
      <c r="A25" s="56" t="s">
        <v>13</v>
      </c>
      <c r="B25" s="57">
        <v>565.79999999999995</v>
      </c>
      <c r="C25" s="56">
        <v>3</v>
      </c>
      <c r="D25" s="58"/>
      <c r="E25" s="59"/>
      <c r="F25" s="60"/>
      <c r="G25" s="60"/>
      <c r="H25" s="60"/>
      <c r="I25" s="60"/>
      <c r="J25" s="60"/>
      <c r="K25" s="60"/>
      <c r="L25" s="60"/>
      <c r="M25" s="60"/>
      <c r="N25" s="60">
        <v>216.9</v>
      </c>
      <c r="O25" s="19">
        <v>216.9</v>
      </c>
      <c r="P25" s="19">
        <v>216.9</v>
      </c>
      <c r="Q25" s="4">
        <f t="shared" si="0"/>
        <v>650.70000000000005</v>
      </c>
      <c r="R25" s="4">
        <f t="shared" si="1"/>
        <v>84.900000000000091</v>
      </c>
    </row>
    <row r="26" spans="1:18">
      <c r="A26" s="56" t="s">
        <v>17</v>
      </c>
      <c r="B26" s="57">
        <v>1500</v>
      </c>
      <c r="C26" s="56">
        <v>1</v>
      </c>
      <c r="D26" s="58"/>
      <c r="E26" s="59"/>
      <c r="F26" s="60"/>
      <c r="G26" s="60"/>
      <c r="H26" s="60"/>
      <c r="I26" s="60"/>
      <c r="J26" s="60"/>
      <c r="K26" s="60"/>
      <c r="L26" s="60"/>
      <c r="M26" s="60"/>
      <c r="N26" s="60">
        <v>1575</v>
      </c>
      <c r="O26" s="19"/>
      <c r="P26" s="19"/>
      <c r="Q26" s="4">
        <f t="shared" si="0"/>
        <v>1575</v>
      </c>
      <c r="R26" s="4">
        <f t="shared" si="1"/>
        <v>75</v>
      </c>
    </row>
    <row r="27" spans="1:18">
      <c r="A27" s="56" t="s">
        <v>19</v>
      </c>
      <c r="B27" s="57">
        <v>1500</v>
      </c>
      <c r="C27" s="56">
        <v>1</v>
      </c>
      <c r="D27" s="58"/>
      <c r="E27" s="59"/>
      <c r="F27" s="60"/>
      <c r="G27" s="60"/>
      <c r="H27" s="60"/>
      <c r="I27" s="60"/>
      <c r="J27" s="60"/>
      <c r="K27" s="60"/>
      <c r="L27" s="60"/>
      <c r="M27" s="60"/>
      <c r="N27" s="60">
        <v>1575</v>
      </c>
      <c r="O27" s="19"/>
      <c r="P27" s="19"/>
      <c r="Q27" s="4">
        <f t="shared" si="0"/>
        <v>1575</v>
      </c>
      <c r="R27" s="4">
        <f t="shared" si="1"/>
        <v>75</v>
      </c>
    </row>
    <row r="28" spans="1:18" ht="15.75">
      <c r="A28" s="63" t="s">
        <v>60</v>
      </c>
      <c r="B28" s="64">
        <v>1500</v>
      </c>
      <c r="C28" s="63">
        <v>2</v>
      </c>
      <c r="D28" s="65"/>
      <c r="E28" s="66"/>
      <c r="F28" s="67"/>
      <c r="G28" s="67"/>
      <c r="H28" s="67"/>
      <c r="I28" s="67"/>
      <c r="J28" s="67"/>
      <c r="K28" s="67"/>
      <c r="L28" s="67"/>
      <c r="M28" s="67"/>
      <c r="N28" s="67"/>
      <c r="O28" s="67">
        <v>825</v>
      </c>
      <c r="P28" s="19">
        <v>825</v>
      </c>
      <c r="Q28" s="4">
        <f t="shared" si="0"/>
        <v>1650</v>
      </c>
      <c r="R28" s="4">
        <f t="shared" si="1"/>
        <v>150</v>
      </c>
    </row>
    <row r="29" spans="1:18">
      <c r="A29" s="63" t="s">
        <v>17</v>
      </c>
      <c r="B29" s="64">
        <v>1000</v>
      </c>
      <c r="C29" s="63">
        <v>2</v>
      </c>
      <c r="D29" s="65"/>
      <c r="E29" s="66"/>
      <c r="F29" s="67"/>
      <c r="G29" s="67"/>
      <c r="H29" s="67"/>
      <c r="I29" s="67"/>
      <c r="J29" s="67"/>
      <c r="K29" s="67"/>
      <c r="L29" s="67"/>
      <c r="M29" s="67"/>
      <c r="N29" s="67"/>
      <c r="O29" s="67">
        <v>550</v>
      </c>
      <c r="P29" s="19">
        <v>550</v>
      </c>
      <c r="Q29" s="4">
        <f t="shared" si="0"/>
        <v>1100</v>
      </c>
      <c r="R29" s="4">
        <f t="shared" si="1"/>
        <v>100</v>
      </c>
    </row>
    <row r="30" spans="1:18" ht="15.75">
      <c r="A30" s="63" t="s">
        <v>18</v>
      </c>
      <c r="B30" s="64">
        <v>4432.7</v>
      </c>
      <c r="C30" s="63">
        <v>2</v>
      </c>
      <c r="D30" s="65"/>
      <c r="E30" s="66"/>
      <c r="F30" s="67"/>
      <c r="G30" s="67"/>
      <c r="H30" s="67"/>
      <c r="I30" s="67"/>
      <c r="J30" s="67"/>
      <c r="K30" s="67"/>
      <c r="L30" s="67"/>
      <c r="M30" s="67"/>
      <c r="N30" s="67"/>
      <c r="O30" s="67">
        <v>2438</v>
      </c>
      <c r="P30" s="19">
        <v>2438</v>
      </c>
      <c r="Q30" s="4">
        <f t="shared" si="0"/>
        <v>4876</v>
      </c>
      <c r="R30" s="4">
        <f t="shared" si="1"/>
        <v>443.30000000000018</v>
      </c>
    </row>
    <row r="31" spans="1:18">
      <c r="A31" s="69" t="s">
        <v>60</v>
      </c>
      <c r="B31" s="70">
        <v>800</v>
      </c>
      <c r="C31" s="69">
        <v>1</v>
      </c>
      <c r="D31" s="72"/>
      <c r="E31" s="73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>
        <v>840</v>
      </c>
      <c r="Q31" s="4">
        <f t="shared" si="0"/>
        <v>840</v>
      </c>
      <c r="R31" s="4">
        <f t="shared" si="1"/>
        <v>40</v>
      </c>
    </row>
    <row r="32" spans="1:18" ht="15.75">
      <c r="A32" s="69" t="s">
        <v>18</v>
      </c>
      <c r="B32" s="70">
        <v>2000</v>
      </c>
      <c r="C32" s="69">
        <v>1</v>
      </c>
      <c r="D32" s="72"/>
      <c r="E32" s="73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>
        <v>2100</v>
      </c>
      <c r="Q32" s="4">
        <f t="shared" si="0"/>
        <v>2100</v>
      </c>
      <c r="R32" s="4">
        <f t="shared" si="1"/>
        <v>100</v>
      </c>
    </row>
    <row r="33" spans="1:18" ht="15.75">
      <c r="A33" s="69" t="s">
        <v>19</v>
      </c>
      <c r="B33" s="70">
        <v>500</v>
      </c>
      <c r="C33" s="69">
        <v>1</v>
      </c>
      <c r="D33" s="72"/>
      <c r="E33" s="73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>
        <v>525</v>
      </c>
      <c r="Q33" s="4">
        <f t="shared" ref="Q33:Q36" si="2">SUM(D33:P33)</f>
        <v>525</v>
      </c>
      <c r="R33" s="4">
        <f t="shared" ref="R33:R36" si="3">Q33-B33</f>
        <v>25</v>
      </c>
    </row>
    <row r="34" spans="1:18" ht="15.75">
      <c r="A34" s="69" t="s">
        <v>15</v>
      </c>
      <c r="B34" s="70">
        <v>500</v>
      </c>
      <c r="C34" s="69">
        <v>1</v>
      </c>
      <c r="D34" s="72"/>
      <c r="E34" s="73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>
        <v>525</v>
      </c>
      <c r="Q34" s="4">
        <f t="shared" si="2"/>
        <v>525</v>
      </c>
      <c r="R34" s="4">
        <f t="shared" si="3"/>
        <v>25</v>
      </c>
    </row>
    <row r="35" spans="1:18" ht="15.75">
      <c r="A35" s="69"/>
      <c r="B35" s="70"/>
      <c r="C35" s="69"/>
      <c r="D35" s="72"/>
      <c r="E35" s="73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4">
        <f t="shared" si="2"/>
        <v>0</v>
      </c>
      <c r="R35" s="4">
        <f t="shared" si="3"/>
        <v>0</v>
      </c>
    </row>
    <row r="36" spans="1:18" ht="15.75">
      <c r="A36" s="69"/>
      <c r="B36" s="70"/>
      <c r="C36" s="69"/>
      <c r="D36" s="72"/>
      <c r="E36" s="73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4">
        <f t="shared" si="2"/>
        <v>0</v>
      </c>
      <c r="R36" s="4">
        <f t="shared" si="3"/>
        <v>0</v>
      </c>
    </row>
    <row r="37" spans="1:18" ht="15.75">
      <c r="A37" s="69"/>
      <c r="B37" s="70"/>
      <c r="C37" s="69"/>
      <c r="D37" s="72"/>
      <c r="E37" s="73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4"/>
      <c r="R37" s="4"/>
    </row>
    <row r="38" spans="1:18" ht="15.75">
      <c r="A38" s="2"/>
      <c r="B38" s="4"/>
      <c r="C38" s="2"/>
      <c r="D38" s="31"/>
      <c r="E38" s="32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4">
        <f t="shared" si="0"/>
        <v>0</v>
      </c>
      <c r="R38" s="4">
        <f t="shared" si="1"/>
        <v>0</v>
      </c>
    </row>
    <row r="39" spans="1:18">
      <c r="A39" s="102" t="s">
        <v>26</v>
      </c>
      <c r="B39" s="103"/>
      <c r="C39" s="104"/>
      <c r="D39" s="19">
        <f>SUM(D3:D31)</f>
        <v>0</v>
      </c>
      <c r="E39" s="19">
        <f t="shared" ref="E39:R39" si="4">SUM(E3:E31)</f>
        <v>330</v>
      </c>
      <c r="F39" s="19">
        <f t="shared" si="4"/>
        <v>614.1</v>
      </c>
      <c r="G39" s="19">
        <f t="shared" si="4"/>
        <v>722.8</v>
      </c>
      <c r="H39" s="19">
        <f t="shared" si="4"/>
        <v>1197</v>
      </c>
      <c r="I39" s="19">
        <f t="shared" si="4"/>
        <v>1545.4</v>
      </c>
      <c r="J39" s="19">
        <f>SUM(J3:J31)</f>
        <v>1339.8000000000002</v>
      </c>
      <c r="K39" s="19">
        <f t="shared" si="4"/>
        <v>1884.3000000000002</v>
      </c>
      <c r="L39" s="19">
        <f t="shared" si="4"/>
        <v>2189.4</v>
      </c>
      <c r="M39" s="19">
        <f t="shared" si="4"/>
        <v>2925.8</v>
      </c>
      <c r="N39" s="19">
        <f t="shared" si="4"/>
        <v>6292.7000000000007</v>
      </c>
      <c r="O39" s="19">
        <f t="shared" si="4"/>
        <v>6459.7</v>
      </c>
      <c r="P39" s="19">
        <f t="shared" si="4"/>
        <v>5886.8</v>
      </c>
      <c r="Q39" s="19"/>
      <c r="R39" s="19">
        <f>SUM(R3:R38)</f>
        <v>4481.6999999999989</v>
      </c>
    </row>
    <row r="41" spans="1:18">
      <c r="A41" s="95" t="s">
        <v>40</v>
      </c>
      <c r="B41" s="95"/>
      <c r="C41" s="95"/>
      <c r="D41" s="3" t="s">
        <v>1</v>
      </c>
      <c r="E41" s="3" t="s">
        <v>2</v>
      </c>
      <c r="F41" s="3" t="s">
        <v>3</v>
      </c>
      <c r="G41" s="3" t="s">
        <v>4</v>
      </c>
      <c r="H41" s="3" t="s">
        <v>5</v>
      </c>
      <c r="I41" s="3" t="s">
        <v>6</v>
      </c>
      <c r="J41" s="3" t="s">
        <v>7</v>
      </c>
      <c r="K41" s="3" t="s">
        <v>8</v>
      </c>
      <c r="L41" s="3" t="s">
        <v>9</v>
      </c>
      <c r="M41" s="3" t="s">
        <v>10</v>
      </c>
      <c r="N41" s="3" t="s">
        <v>11</v>
      </c>
      <c r="O41" s="3" t="s">
        <v>12</v>
      </c>
      <c r="P41" s="3" t="s">
        <v>1</v>
      </c>
    </row>
    <row r="42" spans="1:18" ht="33" customHeight="1">
      <c r="A42" s="94" t="s">
        <v>67</v>
      </c>
      <c r="B42" s="94"/>
      <c r="C42" s="94"/>
      <c r="D42" s="2"/>
      <c r="E42" s="2">
        <v>21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8">
      <c r="A43" s="95" t="s">
        <v>68</v>
      </c>
      <c r="B43" s="95"/>
      <c r="C43" s="95"/>
      <c r="D43" s="2"/>
      <c r="E43" s="2">
        <v>21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8">
      <c r="A44" s="95" t="s">
        <v>69</v>
      </c>
      <c r="B44" s="95"/>
      <c r="C44" s="95"/>
      <c r="D44" s="2"/>
      <c r="E44" s="2">
        <v>20</v>
      </c>
      <c r="F44" s="2"/>
      <c r="G44" s="2">
        <v>-20</v>
      </c>
      <c r="H44" s="20"/>
      <c r="I44" s="2"/>
      <c r="J44" s="2"/>
      <c r="K44" s="2"/>
      <c r="L44" s="2"/>
      <c r="M44" s="2"/>
      <c r="N44" s="2"/>
      <c r="O44" s="2"/>
      <c r="P44" s="2"/>
    </row>
    <row r="45" spans="1:18">
      <c r="A45" s="96" t="s">
        <v>70</v>
      </c>
      <c r="B45" s="101"/>
      <c r="C45" s="97"/>
      <c r="D45" s="2"/>
      <c r="E45" s="2"/>
      <c r="F45" s="2"/>
      <c r="G45" s="5"/>
      <c r="H45" s="20"/>
      <c r="I45" s="15">
        <v>18.899999999999999</v>
      </c>
      <c r="J45" s="2"/>
      <c r="K45" s="2"/>
      <c r="L45" s="2"/>
      <c r="M45" s="2"/>
      <c r="N45" s="2"/>
      <c r="O45" s="2"/>
      <c r="P45" s="2"/>
    </row>
    <row r="46" spans="1:18" ht="15" customHeight="1">
      <c r="A46" s="95" t="s">
        <v>71</v>
      </c>
      <c r="B46" s="95"/>
      <c r="C46" s="95"/>
      <c r="D46" s="2"/>
      <c r="E46" s="2"/>
      <c r="F46" s="2"/>
      <c r="G46" s="5"/>
      <c r="H46" s="2"/>
      <c r="I46" s="15">
        <v>180</v>
      </c>
      <c r="J46" s="2"/>
      <c r="K46" s="2"/>
      <c r="L46" s="2"/>
      <c r="M46" s="2"/>
      <c r="N46" s="2"/>
      <c r="O46" s="2"/>
      <c r="P46" s="2"/>
    </row>
    <row r="47" spans="1:18">
      <c r="A47" s="95" t="s">
        <v>72</v>
      </c>
      <c r="B47" s="95"/>
      <c r="C47" s="95"/>
      <c r="D47" s="2"/>
      <c r="E47" s="2"/>
      <c r="F47" s="2"/>
      <c r="G47" s="5"/>
      <c r="H47" s="2"/>
      <c r="I47" s="15"/>
      <c r="J47" s="2"/>
      <c r="K47" s="2">
        <v>104.3</v>
      </c>
      <c r="L47" s="2">
        <v>-130.4</v>
      </c>
      <c r="M47" s="2"/>
      <c r="N47" s="2"/>
      <c r="O47" s="2"/>
      <c r="P47" s="2"/>
    </row>
    <row r="49" spans="1:16" ht="33" customHeight="1">
      <c r="A49" s="93" t="s">
        <v>45</v>
      </c>
      <c r="B49" s="93"/>
      <c r="C49" s="93"/>
      <c r="D49" s="42">
        <f>'Participantes - Canastita'!B20+D39+SUM(D42:D47)</f>
        <v>600</v>
      </c>
      <c r="E49" s="42">
        <f>'Participantes - Canastita'!C20+E39+SUM(E42:E47)</f>
        <v>1032</v>
      </c>
      <c r="F49" s="42">
        <f>'Participantes - Canastita'!D20+F39+SUM(F42:F47)</f>
        <v>1254.0999999999999</v>
      </c>
      <c r="G49" s="42">
        <f>'Participantes - Canastita'!E20+G39+SUM(G42:G47)</f>
        <v>1342.8</v>
      </c>
      <c r="H49" s="42">
        <f>'Participantes - Canastita'!F20+H39+SUM(H42:H47)</f>
        <v>1837</v>
      </c>
      <c r="I49" s="42">
        <f>'Participantes - Canastita'!G20+I39+SUM(I42:I47)</f>
        <v>2384.3000000000002</v>
      </c>
      <c r="J49" s="42">
        <f>'Participantes - Canastita'!H20+J39+SUM(J42:J47)</f>
        <v>1979.8000000000002</v>
      </c>
      <c r="K49" s="42">
        <f>'Participantes - Canastita'!I20+K39+SUM(K42:K47)</f>
        <v>2628.6000000000004</v>
      </c>
      <c r="L49" s="42">
        <f>'Participantes - Canastita'!J20+L39+SUM(L42:L47)</f>
        <v>2699</v>
      </c>
      <c r="M49" s="42">
        <f>'Participantes - Canastita'!K20+M39+SUM(M42:M47)</f>
        <v>3565.8</v>
      </c>
      <c r="N49" s="42">
        <f>'Participantes - Canastita'!L20+N39+SUM(N42:N47)</f>
        <v>6932.7000000000007</v>
      </c>
      <c r="O49" s="42">
        <f>'Participantes - Canastita'!M20+O39+SUM(O42:O47)</f>
        <v>7099.7</v>
      </c>
      <c r="P49" s="42">
        <f>'Participantes - Canastita'!N20+P39+SUM(P42:P47)</f>
        <v>6526.8</v>
      </c>
    </row>
    <row r="51" spans="1:16">
      <c r="A51" s="86" t="s">
        <v>46</v>
      </c>
      <c r="B51" s="86"/>
      <c r="C51" s="86"/>
      <c r="D51" s="86"/>
      <c r="E51" s="86"/>
      <c r="K51" s="68">
        <f>O49-SUM(B31:B37)</f>
        <v>3299.7</v>
      </c>
    </row>
    <row r="52" spans="1:16">
      <c r="A52" s="2" t="s">
        <v>47</v>
      </c>
      <c r="B52" s="2">
        <v>2500</v>
      </c>
      <c r="C52" s="2"/>
      <c r="D52" s="2" t="s">
        <v>48</v>
      </c>
      <c r="E52" s="2">
        <v>1</v>
      </c>
    </row>
    <row r="53" spans="1:16">
      <c r="A53" s="2" t="s">
        <v>49</v>
      </c>
      <c r="B53" s="87">
        <f>(B52+(B52*0.05*E52))/E52</f>
        <v>2625</v>
      </c>
      <c r="C53" s="88"/>
      <c r="D53" s="88"/>
      <c r="E53" s="89"/>
    </row>
    <row r="56" spans="1:16" ht="15.75"/>
  </sheetData>
  <mergeCells count="11">
    <mergeCell ref="A49:C49"/>
    <mergeCell ref="A51:E51"/>
    <mergeCell ref="B53:E53"/>
    <mergeCell ref="A45:C45"/>
    <mergeCell ref="A39:C39"/>
    <mergeCell ref="A41:C41"/>
    <mergeCell ref="A42:C42"/>
    <mergeCell ref="A43:C43"/>
    <mergeCell ref="A44:C44"/>
    <mergeCell ref="A47:C47"/>
    <mergeCell ref="A46:C46"/>
  </mergeCells>
  <dataValidations count="1">
    <dataValidation type="list" allowBlank="1" showInputMessage="1" showErrorMessage="1" sqref="A19:A21" xr:uid="{2A9302F2-8559-4314-B193-0F809E9E8FB7}">
      <formula1>$A$2:$A$19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CC41FB-576E-4C90-B078-99CE4BC4A40E}">
          <x14:formula1>
            <xm:f>'Participantes - Canastita'!$A$2:$A$19</xm:f>
          </x14:formula1>
          <xm:sqref>A22:A38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2E52-C4DF-4ECB-85A9-E810CEC672A7}">
  <dimension ref="A1:D4"/>
  <sheetViews>
    <sheetView workbookViewId="0">
      <selection sqref="A1:D4"/>
    </sheetView>
  </sheetViews>
  <sheetFormatPr defaultRowHeight="15"/>
  <cols>
    <col min="1" max="1" width="14.5" bestFit="1" customWidth="1"/>
  </cols>
  <sheetData>
    <row r="1" spans="1:4">
      <c r="A1" t="s">
        <v>47</v>
      </c>
      <c r="B1">
        <v>313.5</v>
      </c>
      <c r="C1" t="s">
        <v>48</v>
      </c>
      <c r="D1">
        <v>6</v>
      </c>
    </row>
    <row r="4" spans="1:4">
      <c r="A4" t="s">
        <v>49</v>
      </c>
      <c r="B4" s="1">
        <f>(B1+(B1*0.05*D1))/D1</f>
        <v>67.924999999999997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464D-18BF-D04D-A9E0-8481A458AB3D}">
  <dimension ref="A1:D4"/>
  <sheetViews>
    <sheetView workbookViewId="0">
      <selection activeCell="F30" sqref="F30"/>
    </sheetView>
  </sheetViews>
  <sheetFormatPr defaultColWidth="11" defaultRowHeight="15"/>
  <cols>
    <col min="1" max="1" width="14.5" bestFit="1" customWidth="1"/>
    <col min="2" max="2" width="12.625" bestFit="1" customWidth="1"/>
  </cols>
  <sheetData>
    <row r="1" spans="1:4">
      <c r="A1" t="s">
        <v>47</v>
      </c>
      <c r="B1">
        <v>2812.1</v>
      </c>
      <c r="C1" t="s">
        <v>48</v>
      </c>
      <c r="D1">
        <v>7</v>
      </c>
    </row>
    <row r="4" spans="1:4">
      <c r="A4" t="s">
        <v>49</v>
      </c>
      <c r="B4" s="1">
        <f>(B1*0.05*(1+0.05)^D1)/(((1+0.05)^D1)-1)</f>
        <v>485.9866114524765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Cledmir Tejada Silva</dc:creator>
  <cp:keywords/>
  <dc:description/>
  <cp:lastModifiedBy/>
  <cp:revision/>
  <dcterms:created xsi:type="dcterms:W3CDTF">2024-04-02T00:36:02Z</dcterms:created>
  <dcterms:modified xsi:type="dcterms:W3CDTF">2026-04-08T16:32:26Z</dcterms:modified>
  <cp:category/>
  <cp:contentStatus/>
</cp:coreProperties>
</file>